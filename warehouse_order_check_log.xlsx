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Log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Pickers_DB" sheetId="3" state="visible" r:id="rId3"/>
    <sheet xmlns:r="http://schemas.openxmlformats.org/officeDocument/2006/relationships" name="Daily_Summary" sheetId="4" state="visible" r:id="rId4"/>
    <sheet xmlns:r="http://schemas.openxmlformats.org/officeDocument/2006/relationships" name="Picker_Summary" sheetId="5" state="visible" r:id="rId5"/>
    <sheet xmlns:r="http://schemas.openxmlformats.org/officeDocument/2006/relationships" name="Error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1" fillId="2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9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OrdersTable" displayName="OrdersTable" ref="A1:Q2" headerRowCount="1">
  <autoFilter ref="A1:Q2"/>
  <tableColumns count="17">
    <tableColumn id="1" name="Date"/>
    <tableColumn id="2" name="Order Number"/>
    <tableColumn id="3" name="Picker Name"/>
    <tableColumn id="4" name="Checker Name"/>
    <tableColumn id="5" name="Start Time"/>
    <tableColumn id="6" name="Check Time"/>
    <tableColumn id="7" name="Finish Time"/>
    <tableColumn id="8" name="Duration Minutes"/>
    <tableColumn id="9" name="Lines Count"/>
    <tableColumn id="10" name="Order Size"/>
    <tableColumn id="11" name="Heavy/Bulky Items"/>
    <tableColumn id="12" name="Small Items Packed Correctly"/>
    <tableColumn id="13" name="Error Found"/>
    <tableColumn id="14" name="Error Type"/>
    <tableColumn id="15" name="Fixed"/>
    <tableColumn id="16" name="Status"/>
    <tableColumn id="17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ickerSummaryTable" displayName="PickerSummaryTable" ref="A1:H1001" headerRowCount="1">
  <autoFilter ref="A1:H1001"/>
  <tableColumns count="8">
    <tableColumn id="1" name="Picker Name"/>
    <tableColumn id="2" name="Total orders picked"/>
    <tableColumn id="3" name="Orders with errors"/>
    <tableColumn id="4" name="Error rate %"/>
    <tableColumn id="5" name="Total lines picked"/>
    <tableColumn id="6" name="Average lines per order"/>
    <tableColumn id="7" name="Average duration minutes"/>
    <tableColumn id="8" name="Returned orders 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ErrorSummaryTable" displayName="ErrorSummaryTable" ref="A1:C8" headerRowCount="1">
  <autoFilter ref="A1:C8"/>
  <tableColumns count="3">
    <tableColumn id="1" name="Error type"/>
    <tableColumn id="2" name="Count"/>
    <tableColumn id="3" name="Percentage of all error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1" customWidth="1" min="5" max="5"/>
    <col width="11" customWidth="1" min="6" max="6"/>
    <col width="11" customWidth="1" min="7" max="7"/>
    <col width="16" customWidth="1" min="8" max="8"/>
    <col width="11" customWidth="1" min="9" max="9"/>
    <col width="10" customWidth="1" min="10" max="10"/>
    <col width="18" customWidth="1" min="11" max="11"/>
    <col width="27" customWidth="1" min="12" max="12"/>
    <col width="11" customWidth="1" min="13" max="13"/>
    <col width="20" customWidth="1" min="14" max="14"/>
    <col width="10" customWidth="1" min="15" max="15"/>
    <col width="20" customWidth="1" min="16" max="16"/>
    <col width="28" customWidth="1" min="17" max="17"/>
  </cols>
  <sheetData>
    <row r="1" ht="22" customHeight="1">
      <c r="A1" s="1" t="inlineStr">
        <is>
          <t>Date</t>
        </is>
      </c>
      <c r="B1" s="1" t="inlineStr">
        <is>
          <t>Order Number</t>
        </is>
      </c>
      <c r="C1" s="1" t="inlineStr">
        <is>
          <t>Picker Name</t>
        </is>
      </c>
      <c r="D1" s="1" t="inlineStr">
        <is>
          <t>Checker Name</t>
        </is>
      </c>
      <c r="E1" s="1" t="inlineStr">
        <is>
          <t>Start Time</t>
        </is>
      </c>
      <c r="F1" s="1" t="inlineStr">
        <is>
          <t>Check Time</t>
        </is>
      </c>
      <c r="G1" s="1" t="inlineStr">
        <is>
          <t>Finish Time</t>
        </is>
      </c>
      <c r="H1" s="1" t="inlineStr">
        <is>
          <t>Duration Minutes</t>
        </is>
      </c>
      <c r="I1" s="1" t="inlineStr">
        <is>
          <t>Lines Count</t>
        </is>
      </c>
      <c r="J1" s="1" t="inlineStr">
        <is>
          <t>Order Size</t>
        </is>
      </c>
      <c r="K1" s="1" t="inlineStr">
        <is>
          <t>Heavy/Bulky Items</t>
        </is>
      </c>
      <c r="L1" s="1" t="inlineStr">
        <is>
          <t>Small Items Packed Correctly</t>
        </is>
      </c>
      <c r="M1" s="1" t="inlineStr">
        <is>
          <t>Error Found</t>
        </is>
      </c>
      <c r="N1" s="1" t="inlineStr">
        <is>
          <t>Error Type</t>
        </is>
      </c>
      <c r="O1" s="1" t="inlineStr">
        <is>
          <t>Fixed</t>
        </is>
      </c>
      <c r="P1" s="1" t="inlineStr">
        <is>
          <t>Status</t>
        </is>
      </c>
      <c r="Q1" s="1" t="inlineStr">
        <is>
          <t>Comment</t>
        </is>
      </c>
    </row>
    <row r="2">
      <c r="A2" s="2" t="n"/>
      <c r="E2" s="3" t="n"/>
      <c r="F2" s="3" t="n"/>
      <c r="G2" s="3" t="n"/>
      <c r="H2">
        <f>IF(OR(E2="",G2=""),"",ROUND((G2-E2)*1440,0))</f>
        <v/>
      </c>
    </row>
  </sheetData>
  <conditionalFormatting sqref="A2:Q1048576">
    <cfRule type="expression" priority="1" dxfId="0">
      <formula>$M2="Yes"</formula>
    </cfRule>
    <cfRule type="expression" priority="2" dxfId="1">
      <formula>$P2="Returned to Picker"</formula>
    </cfRule>
  </conditionalFormatting>
  <dataValidations count="6">
    <dataValidation sqref="J2:J1048576" showDropDown="0" showInputMessage="0" showErrorMessage="0" allowBlank="1" type="list">
      <formula1>=Lists!$A$2:$A$5</formula1>
    </dataValidation>
    <dataValidation sqref="K2:K1048576 M2:M1048576" showDropDown="0" showInputMessage="0" showErrorMessage="0" allowBlank="1" type="list">
      <formula1>=Lists!$B$2:$B$3</formula1>
    </dataValidation>
    <dataValidation sqref="L2:L1048576 O2:O1048576" showDropDown="0" showInputMessage="0" showErrorMessage="0" allowBlank="1" type="list">
      <formula1>=Lists!$C$2:$C$4</formula1>
    </dataValidation>
    <dataValidation sqref="N2:N1048576" showDropDown="0" showInputMessage="0" showErrorMessage="0" allowBlank="1" type="list">
      <formula1>=Lists!$D$2:$D$9</formula1>
    </dataValidation>
    <dataValidation sqref="P2:P1048576" showDropDown="0" showInputMessage="0" showErrorMessage="0" allowBlank="1" type="list">
      <formula1>=Lists!$E$2:$E$6</formula1>
    </dataValidation>
    <dataValidation sqref="C2:C1048576 D2:D1048576" showDropDown="0" showInputMessage="0" showErrorMessage="0" allowBlank="1" type="list">
      <formula1>=Pickers_DB!$A$2:$A$500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2" customWidth="1" min="4" max="4"/>
    <col width="20" customWidth="1" min="5" max="5"/>
  </cols>
  <sheetData>
    <row r="1" ht="22" customHeight="1">
      <c r="A1" s="1" t="inlineStr">
        <is>
          <t>Order Sizes</t>
        </is>
      </c>
      <c r="B1" s="1" t="inlineStr">
        <is>
          <t>Yes/No</t>
        </is>
      </c>
      <c r="C1" s="1" t="inlineStr">
        <is>
          <t>Yes/No/N/A</t>
        </is>
      </c>
      <c r="D1" s="1" t="inlineStr">
        <is>
          <t>Error Types</t>
        </is>
      </c>
      <c r="E1" s="1" t="inlineStr">
        <is>
          <t>Statuses</t>
        </is>
      </c>
    </row>
    <row r="2">
      <c r="A2" t="inlineStr">
        <is>
          <t>S</t>
        </is>
      </c>
      <c r="B2" t="inlineStr">
        <is>
          <t>Yes</t>
        </is>
      </c>
      <c r="C2" t="inlineStr">
        <is>
          <t>Yes</t>
        </is>
      </c>
      <c r="D2" t="inlineStr">
        <is>
          <t>None</t>
        </is>
      </c>
      <c r="E2" t="inlineStr">
        <is>
          <t>Checked</t>
        </is>
      </c>
    </row>
    <row r="3">
      <c r="A3" t="inlineStr">
        <is>
          <t>M</t>
        </is>
      </c>
      <c r="B3" t="inlineStr">
        <is>
          <t>No</t>
        </is>
      </c>
      <c r="C3" t="inlineStr">
        <is>
          <t>No</t>
        </is>
      </c>
      <c r="D3" t="inlineStr">
        <is>
          <t>Wrong Quantity</t>
        </is>
      </c>
      <c r="E3" t="inlineStr">
        <is>
          <t>Returned to Picker</t>
        </is>
      </c>
    </row>
    <row r="4">
      <c r="A4" t="inlineStr">
        <is>
          <t>L</t>
        </is>
      </c>
      <c r="C4" t="inlineStr">
        <is>
          <t>N/A</t>
        </is>
      </c>
      <c r="D4" t="inlineStr">
        <is>
          <t>Wrong Item</t>
        </is>
      </c>
      <c r="E4" t="inlineStr">
        <is>
          <t>Ready for Packing</t>
        </is>
      </c>
    </row>
    <row r="5">
      <c r="A5" t="inlineStr">
        <is>
          <t>XL</t>
        </is>
      </c>
      <c r="D5" t="inlineStr">
        <is>
          <t>Missing Item</t>
        </is>
      </c>
      <c r="E5" t="inlineStr">
        <is>
          <t>Packed</t>
        </is>
      </c>
    </row>
    <row r="6">
      <c r="D6" t="inlineStr">
        <is>
          <t>Small Items Loose</t>
        </is>
      </c>
      <c r="E6" t="inlineStr">
        <is>
          <t>Shipped</t>
        </is>
      </c>
    </row>
    <row r="7">
      <c r="D7" t="inlineStr">
        <is>
          <t>Bad Packing</t>
        </is>
      </c>
    </row>
    <row r="8">
      <c r="D8" t="inlineStr">
        <is>
          <t>Damaged Item</t>
        </is>
      </c>
    </row>
    <row r="9">
      <c r="D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 ht="22" customHeight="1">
      <c r="A1" s="1" t="inlineStr">
        <is>
          <t>Picker 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22" customHeight="1">
      <c r="A1" s="1" t="inlineStr">
        <is>
          <t>Summary Date</t>
        </is>
      </c>
      <c r="B1" s="4" t="inlineStr"/>
    </row>
    <row r="3">
      <c r="A3" t="inlineStr">
        <is>
          <t>Total checked orders</t>
        </is>
      </c>
      <c r="B3">
        <f>COUNTIFS(Orders_Log!$A:$A,$B$1,Orders_Log!$B:$B,"&lt;&gt;")</f>
        <v/>
      </c>
    </row>
    <row r="4">
      <c r="A4" t="inlineStr">
        <is>
          <t>Orders with errors</t>
        </is>
      </c>
      <c r="B4">
        <f>COUNTIFS(Orders_Log!$A:$A,$B$1,Orders_Log!$M:$M,"Yes")</f>
        <v/>
      </c>
    </row>
    <row r="5">
      <c r="A5" t="inlineStr">
        <is>
          <t>Error rate %</t>
        </is>
      </c>
      <c r="B5" s="5">
        <f>IF(B3=0,0,B4/B3)</f>
        <v/>
      </c>
    </row>
    <row r="6">
      <c r="A6" t="inlineStr">
        <is>
          <t>Total order lines</t>
        </is>
      </c>
      <c r="B6">
        <f>SUMIFS(Orders_Log!$I:$I,Orders_Log!$A:$A,$B$1)</f>
        <v/>
      </c>
    </row>
    <row r="7">
      <c r="A7" t="inlineStr">
        <is>
          <t>Average lines per order</t>
        </is>
      </c>
      <c r="B7">
        <f>IF(B3=0,0,B6/B3)</f>
        <v/>
      </c>
    </row>
    <row r="8">
      <c r="A8" t="inlineStr">
        <is>
          <t>Average duration minutes</t>
        </is>
      </c>
      <c r="B8">
        <f>IFERROR(AVERAGEIFS(Orders_Log!$H:$H,Orders_Log!$A:$A,$B$1,Orders_Log!$H:$H,"&gt;0"),0)</f>
        <v/>
      </c>
    </row>
    <row r="9">
      <c r="A9" t="inlineStr">
        <is>
          <t>S orders count</t>
        </is>
      </c>
      <c r="B9">
        <f>COUNTIFS(Orders_Log!$A:$A,$B$1,Orders_Log!$J:$J,"S")</f>
        <v/>
      </c>
    </row>
    <row r="10">
      <c r="A10" t="inlineStr">
        <is>
          <t>M orders count</t>
        </is>
      </c>
      <c r="B10">
        <f>COUNTIFS(Orders_Log!$A:$A,$B$1,Orders_Log!$J:$J,"M")</f>
        <v/>
      </c>
    </row>
    <row r="11">
      <c r="A11" t="inlineStr">
        <is>
          <t>L orders count</t>
        </is>
      </c>
      <c r="B11">
        <f>COUNTIFS(Orders_Log!$A:$A,$B$1,Orders_Log!$J:$J,"L")</f>
        <v/>
      </c>
    </row>
    <row r="12">
      <c r="A12" t="inlineStr">
        <is>
          <t>XL orders count</t>
        </is>
      </c>
      <c r="B12">
        <f>COUNTIFS(Orders_Log!$A:$A,$B$1,Orders_Log!$J:$J,"XL")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  <col width="16" customWidth="1" min="5" max="5"/>
    <col width="20" customWidth="1" min="6" max="6"/>
    <col width="22" customWidth="1" min="7" max="7"/>
    <col width="20" customWidth="1" min="8" max="8"/>
  </cols>
  <sheetData>
    <row r="1" ht="22" customHeight="1">
      <c r="A1" s="1" t="inlineStr">
        <is>
          <t>Picker Name</t>
        </is>
      </c>
      <c r="B1" s="1" t="inlineStr">
        <is>
          <t>Total orders picked</t>
        </is>
      </c>
      <c r="C1" s="1" t="inlineStr">
        <is>
          <t>Orders with errors</t>
        </is>
      </c>
      <c r="D1" s="1" t="inlineStr">
        <is>
          <t>Error rate %</t>
        </is>
      </c>
      <c r="E1" s="1" t="inlineStr">
        <is>
          <t>Total lines picked</t>
        </is>
      </c>
      <c r="F1" s="1" t="inlineStr">
        <is>
          <t>Average lines per order</t>
        </is>
      </c>
      <c r="G1" s="1" t="inlineStr">
        <is>
          <t>Average duration minutes</t>
        </is>
      </c>
      <c r="H1" s="1" t="inlineStr">
        <is>
          <t>Returned orders count</t>
        </is>
      </c>
    </row>
    <row r="2">
      <c r="A2">
        <f>SORT(UNIQUE(FILTER(Orders_Log!$C$2:$C$1048576,Orders_Log!$C$2:$C$1048576&lt;&gt;"")))</f>
        <v/>
      </c>
      <c r="B2">
        <f>IF($A2="","",COUNTIFS(Orders_Log!$C:$C,$A2,Orders_Log!$B:$B,"&lt;&gt;"))</f>
        <v/>
      </c>
      <c r="C2">
        <f>IF($A2="","",COUNTIFS(Orders_Log!$C:$C,$A2,Orders_Log!$M:$M,"Yes"))</f>
        <v/>
      </c>
      <c r="D2" s="5">
        <f>IF(B2=0,0,C2/B2)</f>
        <v/>
      </c>
      <c r="E2">
        <f>IF($A2="","",SUMIFS(Orders_Log!$I:$I,Orders_Log!$C:$C,$A2))</f>
        <v/>
      </c>
      <c r="F2">
        <f>IF(B2=0,0,E2/B2)</f>
        <v/>
      </c>
      <c r="G2">
        <f>IF($A2="","",IFERROR(AVERAGEIFS(Orders_Log!$H:$H,Orders_Log!$C:$C,$A2,Orders_Log!$H:$H,"&gt;0"),0))</f>
        <v/>
      </c>
      <c r="H2">
        <f>IF($A2="","",COUNTIFS(Orders_Log!$C:$C,$A2,Orders_Log!$P:$P,"Returned to Picker"))</f>
        <v/>
      </c>
    </row>
    <row r="3">
      <c r="B3">
        <f>IF($A3="","",COUNTIFS(Orders_Log!$C:$C,$A3,Orders_Log!$B:$B,"&lt;&gt;"))</f>
        <v/>
      </c>
      <c r="C3">
        <f>IF($A3="","",COUNTIFS(Orders_Log!$C:$C,$A3,Orders_Log!$M:$M,"Yes"))</f>
        <v/>
      </c>
      <c r="D3" s="5">
        <f>IF(B3=0,0,C3/B3)</f>
        <v/>
      </c>
      <c r="E3">
        <f>IF($A3="","",SUMIFS(Orders_Log!$I:$I,Orders_Log!$C:$C,$A3))</f>
        <v/>
      </c>
      <c r="F3">
        <f>IF(B3=0,0,E3/B3)</f>
        <v/>
      </c>
      <c r="G3">
        <f>IF($A3="","",IFERROR(AVERAGEIFS(Orders_Log!$H:$H,Orders_Log!$C:$C,$A3,Orders_Log!$H:$H,"&gt;0"),0))</f>
        <v/>
      </c>
      <c r="H3">
        <f>IF($A3="","",COUNTIFS(Orders_Log!$C:$C,$A3,Orders_Log!$P:$P,"Returned to Picker"))</f>
        <v/>
      </c>
    </row>
    <row r="4">
      <c r="B4">
        <f>IF($A4="","",COUNTIFS(Orders_Log!$C:$C,$A4,Orders_Log!$B:$B,"&lt;&gt;"))</f>
        <v/>
      </c>
      <c r="C4">
        <f>IF($A4="","",COUNTIFS(Orders_Log!$C:$C,$A4,Orders_Log!$M:$M,"Yes"))</f>
        <v/>
      </c>
      <c r="D4" s="5">
        <f>IF(B4=0,0,C4/B4)</f>
        <v/>
      </c>
      <c r="E4">
        <f>IF($A4="","",SUMIFS(Orders_Log!$I:$I,Orders_Log!$C:$C,$A4))</f>
        <v/>
      </c>
      <c r="F4">
        <f>IF(B4=0,0,E4/B4)</f>
        <v/>
      </c>
      <c r="G4">
        <f>IF($A4="","",IFERROR(AVERAGEIFS(Orders_Log!$H:$H,Orders_Log!$C:$C,$A4,Orders_Log!$H:$H,"&gt;0"),0))</f>
        <v/>
      </c>
      <c r="H4">
        <f>IF($A4="","",COUNTIFS(Orders_Log!$C:$C,$A4,Orders_Log!$P:$P,"Returned to Picker"))</f>
        <v/>
      </c>
    </row>
    <row r="5">
      <c r="B5">
        <f>IF($A5="","",COUNTIFS(Orders_Log!$C:$C,$A5,Orders_Log!$B:$B,"&lt;&gt;"))</f>
        <v/>
      </c>
      <c r="C5">
        <f>IF($A5="","",COUNTIFS(Orders_Log!$C:$C,$A5,Orders_Log!$M:$M,"Yes"))</f>
        <v/>
      </c>
      <c r="D5" s="5">
        <f>IF(B5=0,0,C5/B5)</f>
        <v/>
      </c>
      <c r="E5">
        <f>IF($A5="","",SUMIFS(Orders_Log!$I:$I,Orders_Log!$C:$C,$A5))</f>
        <v/>
      </c>
      <c r="F5">
        <f>IF(B5=0,0,E5/B5)</f>
        <v/>
      </c>
      <c r="G5">
        <f>IF($A5="","",IFERROR(AVERAGEIFS(Orders_Log!$H:$H,Orders_Log!$C:$C,$A5,Orders_Log!$H:$H,"&gt;0"),0))</f>
        <v/>
      </c>
      <c r="H5">
        <f>IF($A5="","",COUNTIFS(Orders_Log!$C:$C,$A5,Orders_Log!$P:$P,"Returned to Picker"))</f>
        <v/>
      </c>
    </row>
    <row r="6">
      <c r="B6">
        <f>IF($A6="","",COUNTIFS(Orders_Log!$C:$C,$A6,Orders_Log!$B:$B,"&lt;&gt;"))</f>
        <v/>
      </c>
      <c r="C6">
        <f>IF($A6="","",COUNTIFS(Orders_Log!$C:$C,$A6,Orders_Log!$M:$M,"Yes"))</f>
        <v/>
      </c>
      <c r="D6" s="5">
        <f>IF(B6=0,0,C6/B6)</f>
        <v/>
      </c>
      <c r="E6">
        <f>IF($A6="","",SUMIFS(Orders_Log!$I:$I,Orders_Log!$C:$C,$A6))</f>
        <v/>
      </c>
      <c r="F6">
        <f>IF(B6=0,0,E6/B6)</f>
        <v/>
      </c>
      <c r="G6">
        <f>IF($A6="","",IFERROR(AVERAGEIFS(Orders_Log!$H:$H,Orders_Log!$C:$C,$A6,Orders_Log!$H:$H,"&gt;0"),0))</f>
        <v/>
      </c>
      <c r="H6">
        <f>IF($A6="","",COUNTIFS(Orders_Log!$C:$C,$A6,Orders_Log!$P:$P,"Returned to Picker"))</f>
        <v/>
      </c>
    </row>
    <row r="7">
      <c r="B7">
        <f>IF($A7="","",COUNTIFS(Orders_Log!$C:$C,$A7,Orders_Log!$B:$B,"&lt;&gt;"))</f>
        <v/>
      </c>
      <c r="C7">
        <f>IF($A7="","",COUNTIFS(Orders_Log!$C:$C,$A7,Orders_Log!$M:$M,"Yes"))</f>
        <v/>
      </c>
      <c r="D7" s="5">
        <f>IF(B7=0,0,C7/B7)</f>
        <v/>
      </c>
      <c r="E7">
        <f>IF($A7="","",SUMIFS(Orders_Log!$I:$I,Orders_Log!$C:$C,$A7))</f>
        <v/>
      </c>
      <c r="F7">
        <f>IF(B7=0,0,E7/B7)</f>
        <v/>
      </c>
      <c r="G7">
        <f>IF($A7="","",IFERROR(AVERAGEIFS(Orders_Log!$H:$H,Orders_Log!$C:$C,$A7,Orders_Log!$H:$H,"&gt;0"),0))</f>
        <v/>
      </c>
      <c r="H7">
        <f>IF($A7="","",COUNTIFS(Orders_Log!$C:$C,$A7,Orders_Log!$P:$P,"Returned to Picker"))</f>
        <v/>
      </c>
    </row>
    <row r="8">
      <c r="B8">
        <f>IF($A8="","",COUNTIFS(Orders_Log!$C:$C,$A8,Orders_Log!$B:$B,"&lt;&gt;"))</f>
        <v/>
      </c>
      <c r="C8">
        <f>IF($A8="","",COUNTIFS(Orders_Log!$C:$C,$A8,Orders_Log!$M:$M,"Yes"))</f>
        <v/>
      </c>
      <c r="D8" s="5">
        <f>IF(B8=0,0,C8/B8)</f>
        <v/>
      </c>
      <c r="E8">
        <f>IF($A8="","",SUMIFS(Orders_Log!$I:$I,Orders_Log!$C:$C,$A8))</f>
        <v/>
      </c>
      <c r="F8">
        <f>IF(B8=0,0,E8/B8)</f>
        <v/>
      </c>
      <c r="G8">
        <f>IF($A8="","",IFERROR(AVERAGEIFS(Orders_Log!$H:$H,Orders_Log!$C:$C,$A8,Orders_Log!$H:$H,"&gt;0"),0))</f>
        <v/>
      </c>
      <c r="H8">
        <f>IF($A8="","",COUNTIFS(Orders_Log!$C:$C,$A8,Orders_Log!$P:$P,"Returned to Picker"))</f>
        <v/>
      </c>
    </row>
    <row r="9">
      <c r="B9">
        <f>IF($A9="","",COUNTIFS(Orders_Log!$C:$C,$A9,Orders_Log!$B:$B,"&lt;&gt;"))</f>
        <v/>
      </c>
      <c r="C9">
        <f>IF($A9="","",COUNTIFS(Orders_Log!$C:$C,$A9,Orders_Log!$M:$M,"Yes"))</f>
        <v/>
      </c>
      <c r="D9" s="5">
        <f>IF(B9=0,0,C9/B9)</f>
        <v/>
      </c>
      <c r="E9">
        <f>IF($A9="","",SUMIFS(Orders_Log!$I:$I,Orders_Log!$C:$C,$A9))</f>
        <v/>
      </c>
      <c r="F9">
        <f>IF(B9=0,0,E9/B9)</f>
        <v/>
      </c>
      <c r="G9">
        <f>IF($A9="","",IFERROR(AVERAGEIFS(Orders_Log!$H:$H,Orders_Log!$C:$C,$A9,Orders_Log!$H:$H,"&gt;0"),0))</f>
        <v/>
      </c>
      <c r="H9">
        <f>IF($A9="","",COUNTIFS(Orders_Log!$C:$C,$A9,Orders_Log!$P:$P,"Returned to Picker"))</f>
        <v/>
      </c>
    </row>
    <row r="10">
      <c r="B10">
        <f>IF($A10="","",COUNTIFS(Orders_Log!$C:$C,$A10,Orders_Log!$B:$B,"&lt;&gt;"))</f>
        <v/>
      </c>
      <c r="C10">
        <f>IF($A10="","",COUNTIFS(Orders_Log!$C:$C,$A10,Orders_Log!$M:$M,"Yes"))</f>
        <v/>
      </c>
      <c r="D10" s="5">
        <f>IF(B10=0,0,C10/B10)</f>
        <v/>
      </c>
      <c r="E10">
        <f>IF($A10="","",SUMIFS(Orders_Log!$I:$I,Orders_Log!$C:$C,$A10))</f>
        <v/>
      </c>
      <c r="F10">
        <f>IF(B10=0,0,E10/B10)</f>
        <v/>
      </c>
      <c r="G10">
        <f>IF($A10="","",IFERROR(AVERAGEIFS(Orders_Log!$H:$H,Orders_Log!$C:$C,$A10,Orders_Log!$H:$H,"&gt;0"),0))</f>
        <v/>
      </c>
      <c r="H10">
        <f>IF($A10="","",COUNTIFS(Orders_Log!$C:$C,$A10,Orders_Log!$P:$P,"Returned to Picker"))</f>
        <v/>
      </c>
    </row>
    <row r="11">
      <c r="B11">
        <f>IF($A11="","",COUNTIFS(Orders_Log!$C:$C,$A11,Orders_Log!$B:$B,"&lt;&gt;"))</f>
        <v/>
      </c>
      <c r="C11">
        <f>IF($A11="","",COUNTIFS(Orders_Log!$C:$C,$A11,Orders_Log!$M:$M,"Yes"))</f>
        <v/>
      </c>
      <c r="D11" s="5">
        <f>IF(B11=0,0,C11/B11)</f>
        <v/>
      </c>
      <c r="E11">
        <f>IF($A11="","",SUMIFS(Orders_Log!$I:$I,Orders_Log!$C:$C,$A11))</f>
        <v/>
      </c>
      <c r="F11">
        <f>IF(B11=0,0,E11/B11)</f>
        <v/>
      </c>
      <c r="G11">
        <f>IF($A11="","",IFERROR(AVERAGEIFS(Orders_Log!$H:$H,Orders_Log!$C:$C,$A11,Orders_Log!$H:$H,"&gt;0"),0))</f>
        <v/>
      </c>
      <c r="H11">
        <f>IF($A11="","",COUNTIFS(Orders_Log!$C:$C,$A11,Orders_Log!$P:$P,"Returned to Picker"))</f>
        <v/>
      </c>
    </row>
    <row r="12">
      <c r="B12">
        <f>IF($A12="","",COUNTIFS(Orders_Log!$C:$C,$A12,Orders_Log!$B:$B,"&lt;&gt;"))</f>
        <v/>
      </c>
      <c r="C12">
        <f>IF($A12="","",COUNTIFS(Orders_Log!$C:$C,$A12,Orders_Log!$M:$M,"Yes"))</f>
        <v/>
      </c>
      <c r="D12" s="5">
        <f>IF(B12=0,0,C12/B12)</f>
        <v/>
      </c>
      <c r="E12">
        <f>IF($A12="","",SUMIFS(Orders_Log!$I:$I,Orders_Log!$C:$C,$A12))</f>
        <v/>
      </c>
      <c r="F12">
        <f>IF(B12=0,0,E12/B12)</f>
        <v/>
      </c>
      <c r="G12">
        <f>IF($A12="","",IFERROR(AVERAGEIFS(Orders_Log!$H:$H,Orders_Log!$C:$C,$A12,Orders_Log!$H:$H,"&gt;0"),0))</f>
        <v/>
      </c>
      <c r="H12">
        <f>IF($A12="","",COUNTIFS(Orders_Log!$C:$C,$A12,Orders_Log!$P:$P,"Returned to Picker"))</f>
        <v/>
      </c>
    </row>
    <row r="13">
      <c r="B13">
        <f>IF($A13="","",COUNTIFS(Orders_Log!$C:$C,$A13,Orders_Log!$B:$B,"&lt;&gt;"))</f>
        <v/>
      </c>
      <c r="C13">
        <f>IF($A13="","",COUNTIFS(Orders_Log!$C:$C,$A13,Orders_Log!$M:$M,"Yes"))</f>
        <v/>
      </c>
      <c r="D13" s="5">
        <f>IF(B13=0,0,C13/B13)</f>
        <v/>
      </c>
      <c r="E13">
        <f>IF($A13="","",SUMIFS(Orders_Log!$I:$I,Orders_Log!$C:$C,$A13))</f>
        <v/>
      </c>
      <c r="F13">
        <f>IF(B13=0,0,E13/B13)</f>
        <v/>
      </c>
      <c r="G13">
        <f>IF($A13="","",IFERROR(AVERAGEIFS(Orders_Log!$H:$H,Orders_Log!$C:$C,$A13,Orders_Log!$H:$H,"&gt;0"),0))</f>
        <v/>
      </c>
      <c r="H13">
        <f>IF($A13="","",COUNTIFS(Orders_Log!$C:$C,$A13,Orders_Log!$P:$P,"Returned to Picker"))</f>
        <v/>
      </c>
    </row>
    <row r="14">
      <c r="B14">
        <f>IF($A14="","",COUNTIFS(Orders_Log!$C:$C,$A14,Orders_Log!$B:$B,"&lt;&gt;"))</f>
        <v/>
      </c>
      <c r="C14">
        <f>IF($A14="","",COUNTIFS(Orders_Log!$C:$C,$A14,Orders_Log!$M:$M,"Yes"))</f>
        <v/>
      </c>
      <c r="D14" s="5">
        <f>IF(B14=0,0,C14/B14)</f>
        <v/>
      </c>
      <c r="E14">
        <f>IF($A14="","",SUMIFS(Orders_Log!$I:$I,Orders_Log!$C:$C,$A14))</f>
        <v/>
      </c>
      <c r="F14">
        <f>IF(B14=0,0,E14/B14)</f>
        <v/>
      </c>
      <c r="G14">
        <f>IF($A14="","",IFERROR(AVERAGEIFS(Orders_Log!$H:$H,Orders_Log!$C:$C,$A14,Orders_Log!$H:$H,"&gt;0"),0))</f>
        <v/>
      </c>
      <c r="H14">
        <f>IF($A14="","",COUNTIFS(Orders_Log!$C:$C,$A14,Orders_Log!$P:$P,"Returned to Picker"))</f>
        <v/>
      </c>
    </row>
    <row r="15">
      <c r="B15">
        <f>IF($A15="","",COUNTIFS(Orders_Log!$C:$C,$A15,Orders_Log!$B:$B,"&lt;&gt;"))</f>
        <v/>
      </c>
      <c r="C15">
        <f>IF($A15="","",COUNTIFS(Orders_Log!$C:$C,$A15,Orders_Log!$M:$M,"Yes"))</f>
        <v/>
      </c>
      <c r="D15" s="5">
        <f>IF(B15=0,0,C15/B15)</f>
        <v/>
      </c>
      <c r="E15">
        <f>IF($A15="","",SUMIFS(Orders_Log!$I:$I,Orders_Log!$C:$C,$A15))</f>
        <v/>
      </c>
      <c r="F15">
        <f>IF(B15=0,0,E15/B15)</f>
        <v/>
      </c>
      <c r="G15">
        <f>IF($A15="","",IFERROR(AVERAGEIFS(Orders_Log!$H:$H,Orders_Log!$C:$C,$A15,Orders_Log!$H:$H,"&gt;0"),0))</f>
        <v/>
      </c>
      <c r="H15">
        <f>IF($A15="","",COUNTIFS(Orders_Log!$C:$C,$A15,Orders_Log!$P:$P,"Returned to Picker"))</f>
        <v/>
      </c>
    </row>
    <row r="16">
      <c r="B16">
        <f>IF($A16="","",COUNTIFS(Orders_Log!$C:$C,$A16,Orders_Log!$B:$B,"&lt;&gt;"))</f>
        <v/>
      </c>
      <c r="C16">
        <f>IF($A16="","",COUNTIFS(Orders_Log!$C:$C,$A16,Orders_Log!$M:$M,"Yes"))</f>
        <v/>
      </c>
      <c r="D16" s="5">
        <f>IF(B16=0,0,C16/B16)</f>
        <v/>
      </c>
      <c r="E16">
        <f>IF($A16="","",SUMIFS(Orders_Log!$I:$I,Orders_Log!$C:$C,$A16))</f>
        <v/>
      </c>
      <c r="F16">
        <f>IF(B16=0,0,E16/B16)</f>
        <v/>
      </c>
      <c r="G16">
        <f>IF($A16="","",IFERROR(AVERAGEIFS(Orders_Log!$H:$H,Orders_Log!$C:$C,$A16,Orders_Log!$H:$H,"&gt;0"),0))</f>
        <v/>
      </c>
      <c r="H16">
        <f>IF($A16="","",COUNTIFS(Orders_Log!$C:$C,$A16,Orders_Log!$P:$P,"Returned to Picker"))</f>
        <v/>
      </c>
    </row>
    <row r="17">
      <c r="B17">
        <f>IF($A17="","",COUNTIFS(Orders_Log!$C:$C,$A17,Orders_Log!$B:$B,"&lt;&gt;"))</f>
        <v/>
      </c>
      <c r="C17">
        <f>IF($A17="","",COUNTIFS(Orders_Log!$C:$C,$A17,Orders_Log!$M:$M,"Yes"))</f>
        <v/>
      </c>
      <c r="D17" s="5">
        <f>IF(B17=0,0,C17/B17)</f>
        <v/>
      </c>
      <c r="E17">
        <f>IF($A17="","",SUMIFS(Orders_Log!$I:$I,Orders_Log!$C:$C,$A17))</f>
        <v/>
      </c>
      <c r="F17">
        <f>IF(B17=0,0,E17/B17)</f>
        <v/>
      </c>
      <c r="G17">
        <f>IF($A17="","",IFERROR(AVERAGEIFS(Orders_Log!$H:$H,Orders_Log!$C:$C,$A17,Orders_Log!$H:$H,"&gt;0"),0))</f>
        <v/>
      </c>
      <c r="H17">
        <f>IF($A17="","",COUNTIFS(Orders_Log!$C:$C,$A17,Orders_Log!$P:$P,"Returned to Picker"))</f>
        <v/>
      </c>
    </row>
    <row r="18">
      <c r="B18">
        <f>IF($A18="","",COUNTIFS(Orders_Log!$C:$C,$A18,Orders_Log!$B:$B,"&lt;&gt;"))</f>
        <v/>
      </c>
      <c r="C18">
        <f>IF($A18="","",COUNTIFS(Orders_Log!$C:$C,$A18,Orders_Log!$M:$M,"Yes"))</f>
        <v/>
      </c>
      <c r="D18" s="5">
        <f>IF(B18=0,0,C18/B18)</f>
        <v/>
      </c>
      <c r="E18">
        <f>IF($A18="","",SUMIFS(Orders_Log!$I:$I,Orders_Log!$C:$C,$A18))</f>
        <v/>
      </c>
      <c r="F18">
        <f>IF(B18=0,0,E18/B18)</f>
        <v/>
      </c>
      <c r="G18">
        <f>IF($A18="","",IFERROR(AVERAGEIFS(Orders_Log!$H:$H,Orders_Log!$C:$C,$A18,Orders_Log!$H:$H,"&gt;0"),0))</f>
        <v/>
      </c>
      <c r="H18">
        <f>IF($A18="","",COUNTIFS(Orders_Log!$C:$C,$A18,Orders_Log!$P:$P,"Returned to Picker"))</f>
        <v/>
      </c>
    </row>
    <row r="19">
      <c r="B19">
        <f>IF($A19="","",COUNTIFS(Orders_Log!$C:$C,$A19,Orders_Log!$B:$B,"&lt;&gt;"))</f>
        <v/>
      </c>
      <c r="C19">
        <f>IF($A19="","",COUNTIFS(Orders_Log!$C:$C,$A19,Orders_Log!$M:$M,"Yes"))</f>
        <v/>
      </c>
      <c r="D19" s="5">
        <f>IF(B19=0,0,C19/B19)</f>
        <v/>
      </c>
      <c r="E19">
        <f>IF($A19="","",SUMIFS(Orders_Log!$I:$I,Orders_Log!$C:$C,$A19))</f>
        <v/>
      </c>
      <c r="F19">
        <f>IF(B19=0,0,E19/B19)</f>
        <v/>
      </c>
      <c r="G19">
        <f>IF($A19="","",IFERROR(AVERAGEIFS(Orders_Log!$H:$H,Orders_Log!$C:$C,$A19,Orders_Log!$H:$H,"&gt;0"),0))</f>
        <v/>
      </c>
      <c r="H19">
        <f>IF($A19="","",COUNTIFS(Orders_Log!$C:$C,$A19,Orders_Log!$P:$P,"Returned to Picker"))</f>
        <v/>
      </c>
    </row>
    <row r="20">
      <c r="B20">
        <f>IF($A20="","",COUNTIFS(Orders_Log!$C:$C,$A20,Orders_Log!$B:$B,"&lt;&gt;"))</f>
        <v/>
      </c>
      <c r="C20">
        <f>IF($A20="","",COUNTIFS(Orders_Log!$C:$C,$A20,Orders_Log!$M:$M,"Yes"))</f>
        <v/>
      </c>
      <c r="D20" s="5">
        <f>IF(B20=0,0,C20/B20)</f>
        <v/>
      </c>
      <c r="E20">
        <f>IF($A20="","",SUMIFS(Orders_Log!$I:$I,Orders_Log!$C:$C,$A20))</f>
        <v/>
      </c>
      <c r="F20">
        <f>IF(B20=0,0,E20/B20)</f>
        <v/>
      </c>
      <c r="G20">
        <f>IF($A20="","",IFERROR(AVERAGEIFS(Orders_Log!$H:$H,Orders_Log!$C:$C,$A20,Orders_Log!$H:$H,"&gt;0"),0))</f>
        <v/>
      </c>
      <c r="H20">
        <f>IF($A20="","",COUNTIFS(Orders_Log!$C:$C,$A20,Orders_Log!$P:$P,"Returned to Picker"))</f>
        <v/>
      </c>
    </row>
    <row r="21">
      <c r="B21">
        <f>IF($A21="","",COUNTIFS(Orders_Log!$C:$C,$A21,Orders_Log!$B:$B,"&lt;&gt;"))</f>
        <v/>
      </c>
      <c r="C21">
        <f>IF($A21="","",COUNTIFS(Orders_Log!$C:$C,$A21,Orders_Log!$M:$M,"Yes"))</f>
        <v/>
      </c>
      <c r="D21" s="5">
        <f>IF(B21=0,0,C21/B21)</f>
        <v/>
      </c>
      <c r="E21">
        <f>IF($A21="","",SUMIFS(Orders_Log!$I:$I,Orders_Log!$C:$C,$A21))</f>
        <v/>
      </c>
      <c r="F21">
        <f>IF(B21=0,0,E21/B21)</f>
        <v/>
      </c>
      <c r="G21">
        <f>IF($A21="","",IFERROR(AVERAGEIFS(Orders_Log!$H:$H,Orders_Log!$C:$C,$A21,Orders_Log!$H:$H,"&gt;0"),0))</f>
        <v/>
      </c>
      <c r="H21">
        <f>IF($A21="","",COUNTIFS(Orders_Log!$C:$C,$A21,Orders_Log!$P:$P,"Returned to Picker"))</f>
        <v/>
      </c>
    </row>
    <row r="22">
      <c r="B22">
        <f>IF($A22="","",COUNTIFS(Orders_Log!$C:$C,$A22,Orders_Log!$B:$B,"&lt;&gt;"))</f>
        <v/>
      </c>
      <c r="C22">
        <f>IF($A22="","",COUNTIFS(Orders_Log!$C:$C,$A22,Orders_Log!$M:$M,"Yes"))</f>
        <v/>
      </c>
      <c r="D22" s="5">
        <f>IF(B22=0,0,C22/B22)</f>
        <v/>
      </c>
      <c r="E22">
        <f>IF($A22="","",SUMIFS(Orders_Log!$I:$I,Orders_Log!$C:$C,$A22))</f>
        <v/>
      </c>
      <c r="F22">
        <f>IF(B22=0,0,E22/B22)</f>
        <v/>
      </c>
      <c r="G22">
        <f>IF($A22="","",IFERROR(AVERAGEIFS(Orders_Log!$H:$H,Orders_Log!$C:$C,$A22,Orders_Log!$H:$H,"&gt;0"),0))</f>
        <v/>
      </c>
      <c r="H22">
        <f>IF($A22="","",COUNTIFS(Orders_Log!$C:$C,$A22,Orders_Log!$P:$P,"Returned to Picker"))</f>
        <v/>
      </c>
    </row>
    <row r="23">
      <c r="B23">
        <f>IF($A23="","",COUNTIFS(Orders_Log!$C:$C,$A23,Orders_Log!$B:$B,"&lt;&gt;"))</f>
        <v/>
      </c>
      <c r="C23">
        <f>IF($A23="","",COUNTIFS(Orders_Log!$C:$C,$A23,Orders_Log!$M:$M,"Yes"))</f>
        <v/>
      </c>
      <c r="D23" s="5">
        <f>IF(B23=0,0,C23/B23)</f>
        <v/>
      </c>
      <c r="E23">
        <f>IF($A23="","",SUMIFS(Orders_Log!$I:$I,Orders_Log!$C:$C,$A23))</f>
        <v/>
      </c>
      <c r="F23">
        <f>IF(B23=0,0,E23/B23)</f>
        <v/>
      </c>
      <c r="G23">
        <f>IF($A23="","",IFERROR(AVERAGEIFS(Orders_Log!$H:$H,Orders_Log!$C:$C,$A23,Orders_Log!$H:$H,"&gt;0"),0))</f>
        <v/>
      </c>
      <c r="H23">
        <f>IF($A23="","",COUNTIFS(Orders_Log!$C:$C,$A23,Orders_Log!$P:$P,"Returned to Picker"))</f>
        <v/>
      </c>
    </row>
    <row r="24">
      <c r="B24">
        <f>IF($A24="","",COUNTIFS(Orders_Log!$C:$C,$A24,Orders_Log!$B:$B,"&lt;&gt;"))</f>
        <v/>
      </c>
      <c r="C24">
        <f>IF($A24="","",COUNTIFS(Orders_Log!$C:$C,$A24,Orders_Log!$M:$M,"Yes"))</f>
        <v/>
      </c>
      <c r="D24" s="5">
        <f>IF(B24=0,0,C24/B24)</f>
        <v/>
      </c>
      <c r="E24">
        <f>IF($A24="","",SUMIFS(Orders_Log!$I:$I,Orders_Log!$C:$C,$A24))</f>
        <v/>
      </c>
      <c r="F24">
        <f>IF(B24=0,0,E24/B24)</f>
        <v/>
      </c>
      <c r="G24">
        <f>IF($A24="","",IFERROR(AVERAGEIFS(Orders_Log!$H:$H,Orders_Log!$C:$C,$A24,Orders_Log!$H:$H,"&gt;0"),0))</f>
        <v/>
      </c>
      <c r="H24">
        <f>IF($A24="","",COUNTIFS(Orders_Log!$C:$C,$A24,Orders_Log!$P:$P,"Returned to Picker"))</f>
        <v/>
      </c>
    </row>
    <row r="25">
      <c r="B25">
        <f>IF($A25="","",COUNTIFS(Orders_Log!$C:$C,$A25,Orders_Log!$B:$B,"&lt;&gt;"))</f>
        <v/>
      </c>
      <c r="C25">
        <f>IF($A25="","",COUNTIFS(Orders_Log!$C:$C,$A25,Orders_Log!$M:$M,"Yes"))</f>
        <v/>
      </c>
      <c r="D25" s="5">
        <f>IF(B25=0,0,C25/B25)</f>
        <v/>
      </c>
      <c r="E25">
        <f>IF($A25="","",SUMIFS(Orders_Log!$I:$I,Orders_Log!$C:$C,$A25))</f>
        <v/>
      </c>
      <c r="F25">
        <f>IF(B25=0,0,E25/B25)</f>
        <v/>
      </c>
      <c r="G25">
        <f>IF($A25="","",IFERROR(AVERAGEIFS(Orders_Log!$H:$H,Orders_Log!$C:$C,$A25,Orders_Log!$H:$H,"&gt;0"),0))</f>
        <v/>
      </c>
      <c r="H25">
        <f>IF($A25="","",COUNTIFS(Orders_Log!$C:$C,$A25,Orders_Log!$P:$P,"Returned to Picker"))</f>
        <v/>
      </c>
    </row>
    <row r="26">
      <c r="B26">
        <f>IF($A26="","",COUNTIFS(Orders_Log!$C:$C,$A26,Orders_Log!$B:$B,"&lt;&gt;"))</f>
        <v/>
      </c>
      <c r="C26">
        <f>IF($A26="","",COUNTIFS(Orders_Log!$C:$C,$A26,Orders_Log!$M:$M,"Yes"))</f>
        <v/>
      </c>
      <c r="D26" s="5">
        <f>IF(B26=0,0,C26/B26)</f>
        <v/>
      </c>
      <c r="E26">
        <f>IF($A26="","",SUMIFS(Orders_Log!$I:$I,Orders_Log!$C:$C,$A26))</f>
        <v/>
      </c>
      <c r="F26">
        <f>IF(B26=0,0,E26/B26)</f>
        <v/>
      </c>
      <c r="G26">
        <f>IF($A26="","",IFERROR(AVERAGEIFS(Orders_Log!$H:$H,Orders_Log!$C:$C,$A26,Orders_Log!$H:$H,"&gt;0"),0))</f>
        <v/>
      </c>
      <c r="H26">
        <f>IF($A26="","",COUNTIFS(Orders_Log!$C:$C,$A26,Orders_Log!$P:$P,"Returned to Picker"))</f>
        <v/>
      </c>
    </row>
    <row r="27">
      <c r="B27">
        <f>IF($A27="","",COUNTIFS(Orders_Log!$C:$C,$A27,Orders_Log!$B:$B,"&lt;&gt;"))</f>
        <v/>
      </c>
      <c r="C27">
        <f>IF($A27="","",COUNTIFS(Orders_Log!$C:$C,$A27,Orders_Log!$M:$M,"Yes"))</f>
        <v/>
      </c>
      <c r="D27" s="5">
        <f>IF(B27=0,0,C27/B27)</f>
        <v/>
      </c>
      <c r="E27">
        <f>IF($A27="","",SUMIFS(Orders_Log!$I:$I,Orders_Log!$C:$C,$A27))</f>
        <v/>
      </c>
      <c r="F27">
        <f>IF(B27=0,0,E27/B27)</f>
        <v/>
      </c>
      <c r="G27">
        <f>IF($A27="","",IFERROR(AVERAGEIFS(Orders_Log!$H:$H,Orders_Log!$C:$C,$A27,Orders_Log!$H:$H,"&gt;0"),0))</f>
        <v/>
      </c>
      <c r="H27">
        <f>IF($A27="","",COUNTIFS(Orders_Log!$C:$C,$A27,Orders_Log!$P:$P,"Returned to Picker"))</f>
        <v/>
      </c>
    </row>
    <row r="28">
      <c r="B28">
        <f>IF($A28="","",COUNTIFS(Orders_Log!$C:$C,$A28,Orders_Log!$B:$B,"&lt;&gt;"))</f>
        <v/>
      </c>
      <c r="C28">
        <f>IF($A28="","",COUNTIFS(Orders_Log!$C:$C,$A28,Orders_Log!$M:$M,"Yes"))</f>
        <v/>
      </c>
      <c r="D28" s="5">
        <f>IF(B28=0,0,C28/B28)</f>
        <v/>
      </c>
      <c r="E28">
        <f>IF($A28="","",SUMIFS(Orders_Log!$I:$I,Orders_Log!$C:$C,$A28))</f>
        <v/>
      </c>
      <c r="F28">
        <f>IF(B28=0,0,E28/B28)</f>
        <v/>
      </c>
      <c r="G28">
        <f>IF($A28="","",IFERROR(AVERAGEIFS(Orders_Log!$H:$H,Orders_Log!$C:$C,$A28,Orders_Log!$H:$H,"&gt;0"),0))</f>
        <v/>
      </c>
      <c r="H28">
        <f>IF($A28="","",COUNTIFS(Orders_Log!$C:$C,$A28,Orders_Log!$P:$P,"Returned to Picker"))</f>
        <v/>
      </c>
    </row>
    <row r="29">
      <c r="B29">
        <f>IF($A29="","",COUNTIFS(Orders_Log!$C:$C,$A29,Orders_Log!$B:$B,"&lt;&gt;"))</f>
        <v/>
      </c>
      <c r="C29">
        <f>IF($A29="","",COUNTIFS(Orders_Log!$C:$C,$A29,Orders_Log!$M:$M,"Yes"))</f>
        <v/>
      </c>
      <c r="D29" s="5">
        <f>IF(B29=0,0,C29/B29)</f>
        <v/>
      </c>
      <c r="E29">
        <f>IF($A29="","",SUMIFS(Orders_Log!$I:$I,Orders_Log!$C:$C,$A29))</f>
        <v/>
      </c>
      <c r="F29">
        <f>IF(B29=0,0,E29/B29)</f>
        <v/>
      </c>
      <c r="G29">
        <f>IF($A29="","",IFERROR(AVERAGEIFS(Orders_Log!$H:$H,Orders_Log!$C:$C,$A29,Orders_Log!$H:$H,"&gt;0"),0))</f>
        <v/>
      </c>
      <c r="H29">
        <f>IF($A29="","",COUNTIFS(Orders_Log!$C:$C,$A29,Orders_Log!$P:$P,"Returned to Picker"))</f>
        <v/>
      </c>
    </row>
    <row r="30">
      <c r="B30">
        <f>IF($A30="","",COUNTIFS(Orders_Log!$C:$C,$A30,Orders_Log!$B:$B,"&lt;&gt;"))</f>
        <v/>
      </c>
      <c r="C30">
        <f>IF($A30="","",COUNTIFS(Orders_Log!$C:$C,$A30,Orders_Log!$M:$M,"Yes"))</f>
        <v/>
      </c>
      <c r="D30" s="5">
        <f>IF(B30=0,0,C30/B30)</f>
        <v/>
      </c>
      <c r="E30">
        <f>IF($A30="","",SUMIFS(Orders_Log!$I:$I,Orders_Log!$C:$C,$A30))</f>
        <v/>
      </c>
      <c r="F30">
        <f>IF(B30=0,0,E30/B30)</f>
        <v/>
      </c>
      <c r="G30">
        <f>IF($A30="","",IFERROR(AVERAGEIFS(Orders_Log!$H:$H,Orders_Log!$C:$C,$A30,Orders_Log!$H:$H,"&gt;0"),0))</f>
        <v/>
      </c>
      <c r="H30">
        <f>IF($A30="","",COUNTIFS(Orders_Log!$C:$C,$A30,Orders_Log!$P:$P,"Returned to Picker"))</f>
        <v/>
      </c>
    </row>
    <row r="31">
      <c r="B31">
        <f>IF($A31="","",COUNTIFS(Orders_Log!$C:$C,$A31,Orders_Log!$B:$B,"&lt;&gt;"))</f>
        <v/>
      </c>
      <c r="C31">
        <f>IF($A31="","",COUNTIFS(Orders_Log!$C:$C,$A31,Orders_Log!$M:$M,"Yes"))</f>
        <v/>
      </c>
      <c r="D31" s="5">
        <f>IF(B31=0,0,C31/B31)</f>
        <v/>
      </c>
      <c r="E31">
        <f>IF($A31="","",SUMIFS(Orders_Log!$I:$I,Orders_Log!$C:$C,$A31))</f>
        <v/>
      </c>
      <c r="F31">
        <f>IF(B31=0,0,E31/B31)</f>
        <v/>
      </c>
      <c r="G31">
        <f>IF($A31="","",IFERROR(AVERAGEIFS(Orders_Log!$H:$H,Orders_Log!$C:$C,$A31,Orders_Log!$H:$H,"&gt;0"),0))</f>
        <v/>
      </c>
      <c r="H31">
        <f>IF($A31="","",COUNTIFS(Orders_Log!$C:$C,$A31,Orders_Log!$P:$P,"Returned to Picker"))</f>
        <v/>
      </c>
    </row>
    <row r="32">
      <c r="B32">
        <f>IF($A32="","",COUNTIFS(Orders_Log!$C:$C,$A32,Orders_Log!$B:$B,"&lt;&gt;"))</f>
        <v/>
      </c>
      <c r="C32">
        <f>IF($A32="","",COUNTIFS(Orders_Log!$C:$C,$A32,Orders_Log!$M:$M,"Yes"))</f>
        <v/>
      </c>
      <c r="D32" s="5">
        <f>IF(B32=0,0,C32/B32)</f>
        <v/>
      </c>
      <c r="E32">
        <f>IF($A32="","",SUMIFS(Orders_Log!$I:$I,Orders_Log!$C:$C,$A32))</f>
        <v/>
      </c>
      <c r="F32">
        <f>IF(B32=0,0,E32/B32)</f>
        <v/>
      </c>
      <c r="G32">
        <f>IF($A32="","",IFERROR(AVERAGEIFS(Orders_Log!$H:$H,Orders_Log!$C:$C,$A32,Orders_Log!$H:$H,"&gt;0"),0))</f>
        <v/>
      </c>
      <c r="H32">
        <f>IF($A32="","",COUNTIFS(Orders_Log!$C:$C,$A32,Orders_Log!$P:$P,"Returned to Picker"))</f>
        <v/>
      </c>
    </row>
    <row r="33">
      <c r="B33">
        <f>IF($A33="","",COUNTIFS(Orders_Log!$C:$C,$A33,Orders_Log!$B:$B,"&lt;&gt;"))</f>
        <v/>
      </c>
      <c r="C33">
        <f>IF($A33="","",COUNTIFS(Orders_Log!$C:$C,$A33,Orders_Log!$M:$M,"Yes"))</f>
        <v/>
      </c>
      <c r="D33" s="5">
        <f>IF(B33=0,0,C33/B33)</f>
        <v/>
      </c>
      <c r="E33">
        <f>IF($A33="","",SUMIFS(Orders_Log!$I:$I,Orders_Log!$C:$C,$A33))</f>
        <v/>
      </c>
      <c r="F33">
        <f>IF(B33=0,0,E33/B33)</f>
        <v/>
      </c>
      <c r="G33">
        <f>IF($A33="","",IFERROR(AVERAGEIFS(Orders_Log!$H:$H,Orders_Log!$C:$C,$A33,Orders_Log!$H:$H,"&gt;0"),0))</f>
        <v/>
      </c>
      <c r="H33">
        <f>IF($A33="","",COUNTIFS(Orders_Log!$C:$C,$A33,Orders_Log!$P:$P,"Returned to Picker"))</f>
        <v/>
      </c>
    </row>
    <row r="34">
      <c r="B34">
        <f>IF($A34="","",COUNTIFS(Orders_Log!$C:$C,$A34,Orders_Log!$B:$B,"&lt;&gt;"))</f>
        <v/>
      </c>
      <c r="C34">
        <f>IF($A34="","",COUNTIFS(Orders_Log!$C:$C,$A34,Orders_Log!$M:$M,"Yes"))</f>
        <v/>
      </c>
      <c r="D34" s="5">
        <f>IF(B34=0,0,C34/B34)</f>
        <v/>
      </c>
      <c r="E34">
        <f>IF($A34="","",SUMIFS(Orders_Log!$I:$I,Orders_Log!$C:$C,$A34))</f>
        <v/>
      </c>
      <c r="F34">
        <f>IF(B34=0,0,E34/B34)</f>
        <v/>
      </c>
      <c r="G34">
        <f>IF($A34="","",IFERROR(AVERAGEIFS(Orders_Log!$H:$H,Orders_Log!$C:$C,$A34,Orders_Log!$H:$H,"&gt;0"),0))</f>
        <v/>
      </c>
      <c r="H34">
        <f>IF($A34="","",COUNTIFS(Orders_Log!$C:$C,$A34,Orders_Log!$P:$P,"Returned to Picker"))</f>
        <v/>
      </c>
    </row>
    <row r="35">
      <c r="B35">
        <f>IF($A35="","",COUNTIFS(Orders_Log!$C:$C,$A35,Orders_Log!$B:$B,"&lt;&gt;"))</f>
        <v/>
      </c>
      <c r="C35">
        <f>IF($A35="","",COUNTIFS(Orders_Log!$C:$C,$A35,Orders_Log!$M:$M,"Yes"))</f>
        <v/>
      </c>
      <c r="D35" s="5">
        <f>IF(B35=0,0,C35/B35)</f>
        <v/>
      </c>
      <c r="E35">
        <f>IF($A35="","",SUMIFS(Orders_Log!$I:$I,Orders_Log!$C:$C,$A35))</f>
        <v/>
      </c>
      <c r="F35">
        <f>IF(B35=0,0,E35/B35)</f>
        <v/>
      </c>
      <c r="G35">
        <f>IF($A35="","",IFERROR(AVERAGEIFS(Orders_Log!$H:$H,Orders_Log!$C:$C,$A35,Orders_Log!$H:$H,"&gt;0"),0))</f>
        <v/>
      </c>
      <c r="H35">
        <f>IF($A35="","",COUNTIFS(Orders_Log!$C:$C,$A35,Orders_Log!$P:$P,"Returned to Picker"))</f>
        <v/>
      </c>
    </row>
    <row r="36">
      <c r="B36">
        <f>IF($A36="","",COUNTIFS(Orders_Log!$C:$C,$A36,Orders_Log!$B:$B,"&lt;&gt;"))</f>
        <v/>
      </c>
      <c r="C36">
        <f>IF($A36="","",COUNTIFS(Orders_Log!$C:$C,$A36,Orders_Log!$M:$M,"Yes"))</f>
        <v/>
      </c>
      <c r="D36" s="5">
        <f>IF(B36=0,0,C36/B36)</f>
        <v/>
      </c>
      <c r="E36">
        <f>IF($A36="","",SUMIFS(Orders_Log!$I:$I,Orders_Log!$C:$C,$A36))</f>
        <v/>
      </c>
      <c r="F36">
        <f>IF(B36=0,0,E36/B36)</f>
        <v/>
      </c>
      <c r="G36">
        <f>IF($A36="","",IFERROR(AVERAGEIFS(Orders_Log!$H:$H,Orders_Log!$C:$C,$A36,Orders_Log!$H:$H,"&gt;0"),0))</f>
        <v/>
      </c>
      <c r="H36">
        <f>IF($A36="","",COUNTIFS(Orders_Log!$C:$C,$A36,Orders_Log!$P:$P,"Returned to Picker"))</f>
        <v/>
      </c>
    </row>
    <row r="37">
      <c r="B37">
        <f>IF($A37="","",COUNTIFS(Orders_Log!$C:$C,$A37,Orders_Log!$B:$B,"&lt;&gt;"))</f>
        <v/>
      </c>
      <c r="C37">
        <f>IF($A37="","",COUNTIFS(Orders_Log!$C:$C,$A37,Orders_Log!$M:$M,"Yes"))</f>
        <v/>
      </c>
      <c r="D37" s="5">
        <f>IF(B37=0,0,C37/B37)</f>
        <v/>
      </c>
      <c r="E37">
        <f>IF($A37="","",SUMIFS(Orders_Log!$I:$I,Orders_Log!$C:$C,$A37))</f>
        <v/>
      </c>
      <c r="F37">
        <f>IF(B37=0,0,E37/B37)</f>
        <v/>
      </c>
      <c r="G37">
        <f>IF($A37="","",IFERROR(AVERAGEIFS(Orders_Log!$H:$H,Orders_Log!$C:$C,$A37,Orders_Log!$H:$H,"&gt;0"),0))</f>
        <v/>
      </c>
      <c r="H37">
        <f>IF($A37="","",COUNTIFS(Orders_Log!$C:$C,$A37,Orders_Log!$P:$P,"Returned to Picker"))</f>
        <v/>
      </c>
    </row>
    <row r="38">
      <c r="B38">
        <f>IF($A38="","",COUNTIFS(Orders_Log!$C:$C,$A38,Orders_Log!$B:$B,"&lt;&gt;"))</f>
        <v/>
      </c>
      <c r="C38">
        <f>IF($A38="","",COUNTIFS(Orders_Log!$C:$C,$A38,Orders_Log!$M:$M,"Yes"))</f>
        <v/>
      </c>
      <c r="D38" s="5">
        <f>IF(B38=0,0,C38/B38)</f>
        <v/>
      </c>
      <c r="E38">
        <f>IF($A38="","",SUMIFS(Orders_Log!$I:$I,Orders_Log!$C:$C,$A38))</f>
        <v/>
      </c>
      <c r="F38">
        <f>IF(B38=0,0,E38/B38)</f>
        <v/>
      </c>
      <c r="G38">
        <f>IF($A38="","",IFERROR(AVERAGEIFS(Orders_Log!$H:$H,Orders_Log!$C:$C,$A38,Orders_Log!$H:$H,"&gt;0"),0))</f>
        <v/>
      </c>
      <c r="H38">
        <f>IF($A38="","",COUNTIFS(Orders_Log!$C:$C,$A38,Orders_Log!$P:$P,"Returned to Picker"))</f>
        <v/>
      </c>
    </row>
    <row r="39">
      <c r="B39">
        <f>IF($A39="","",COUNTIFS(Orders_Log!$C:$C,$A39,Orders_Log!$B:$B,"&lt;&gt;"))</f>
        <v/>
      </c>
      <c r="C39">
        <f>IF($A39="","",COUNTIFS(Orders_Log!$C:$C,$A39,Orders_Log!$M:$M,"Yes"))</f>
        <v/>
      </c>
      <c r="D39" s="5">
        <f>IF(B39=0,0,C39/B39)</f>
        <v/>
      </c>
      <c r="E39">
        <f>IF($A39="","",SUMIFS(Orders_Log!$I:$I,Orders_Log!$C:$C,$A39))</f>
        <v/>
      </c>
      <c r="F39">
        <f>IF(B39=0,0,E39/B39)</f>
        <v/>
      </c>
      <c r="G39">
        <f>IF($A39="","",IFERROR(AVERAGEIFS(Orders_Log!$H:$H,Orders_Log!$C:$C,$A39,Orders_Log!$H:$H,"&gt;0"),0))</f>
        <v/>
      </c>
      <c r="H39">
        <f>IF($A39="","",COUNTIFS(Orders_Log!$C:$C,$A39,Orders_Log!$P:$P,"Returned to Picker"))</f>
        <v/>
      </c>
    </row>
    <row r="40">
      <c r="B40">
        <f>IF($A40="","",COUNTIFS(Orders_Log!$C:$C,$A40,Orders_Log!$B:$B,"&lt;&gt;"))</f>
        <v/>
      </c>
      <c r="C40">
        <f>IF($A40="","",COUNTIFS(Orders_Log!$C:$C,$A40,Orders_Log!$M:$M,"Yes"))</f>
        <v/>
      </c>
      <c r="D40" s="5">
        <f>IF(B40=0,0,C40/B40)</f>
        <v/>
      </c>
      <c r="E40">
        <f>IF($A40="","",SUMIFS(Orders_Log!$I:$I,Orders_Log!$C:$C,$A40))</f>
        <v/>
      </c>
      <c r="F40">
        <f>IF(B40=0,0,E40/B40)</f>
        <v/>
      </c>
      <c r="G40">
        <f>IF($A40="","",IFERROR(AVERAGEIFS(Orders_Log!$H:$H,Orders_Log!$C:$C,$A40,Orders_Log!$H:$H,"&gt;0"),0))</f>
        <v/>
      </c>
      <c r="H40">
        <f>IF($A40="","",COUNTIFS(Orders_Log!$C:$C,$A40,Orders_Log!$P:$P,"Returned to Picker"))</f>
        <v/>
      </c>
    </row>
    <row r="41">
      <c r="B41">
        <f>IF($A41="","",COUNTIFS(Orders_Log!$C:$C,$A41,Orders_Log!$B:$B,"&lt;&gt;"))</f>
        <v/>
      </c>
      <c r="C41">
        <f>IF($A41="","",COUNTIFS(Orders_Log!$C:$C,$A41,Orders_Log!$M:$M,"Yes"))</f>
        <v/>
      </c>
      <c r="D41" s="5">
        <f>IF(B41=0,0,C41/B41)</f>
        <v/>
      </c>
      <c r="E41">
        <f>IF($A41="","",SUMIFS(Orders_Log!$I:$I,Orders_Log!$C:$C,$A41))</f>
        <v/>
      </c>
      <c r="F41">
        <f>IF(B41=0,0,E41/B41)</f>
        <v/>
      </c>
      <c r="G41">
        <f>IF($A41="","",IFERROR(AVERAGEIFS(Orders_Log!$H:$H,Orders_Log!$C:$C,$A41,Orders_Log!$H:$H,"&gt;0"),0))</f>
        <v/>
      </c>
      <c r="H41">
        <f>IF($A41="","",COUNTIFS(Orders_Log!$C:$C,$A41,Orders_Log!$P:$P,"Returned to Picker"))</f>
        <v/>
      </c>
    </row>
    <row r="42">
      <c r="B42">
        <f>IF($A42="","",COUNTIFS(Orders_Log!$C:$C,$A42,Orders_Log!$B:$B,"&lt;&gt;"))</f>
        <v/>
      </c>
      <c r="C42">
        <f>IF($A42="","",COUNTIFS(Orders_Log!$C:$C,$A42,Orders_Log!$M:$M,"Yes"))</f>
        <v/>
      </c>
      <c r="D42" s="5">
        <f>IF(B42=0,0,C42/B42)</f>
        <v/>
      </c>
      <c r="E42">
        <f>IF($A42="","",SUMIFS(Orders_Log!$I:$I,Orders_Log!$C:$C,$A42))</f>
        <v/>
      </c>
      <c r="F42">
        <f>IF(B42=0,0,E42/B42)</f>
        <v/>
      </c>
      <c r="G42">
        <f>IF($A42="","",IFERROR(AVERAGEIFS(Orders_Log!$H:$H,Orders_Log!$C:$C,$A42,Orders_Log!$H:$H,"&gt;0"),0))</f>
        <v/>
      </c>
      <c r="H42">
        <f>IF($A42="","",COUNTIFS(Orders_Log!$C:$C,$A42,Orders_Log!$P:$P,"Returned to Picker"))</f>
        <v/>
      </c>
    </row>
    <row r="43">
      <c r="B43">
        <f>IF($A43="","",COUNTIFS(Orders_Log!$C:$C,$A43,Orders_Log!$B:$B,"&lt;&gt;"))</f>
        <v/>
      </c>
      <c r="C43">
        <f>IF($A43="","",COUNTIFS(Orders_Log!$C:$C,$A43,Orders_Log!$M:$M,"Yes"))</f>
        <v/>
      </c>
      <c r="D43" s="5">
        <f>IF(B43=0,0,C43/B43)</f>
        <v/>
      </c>
      <c r="E43">
        <f>IF($A43="","",SUMIFS(Orders_Log!$I:$I,Orders_Log!$C:$C,$A43))</f>
        <v/>
      </c>
      <c r="F43">
        <f>IF(B43=0,0,E43/B43)</f>
        <v/>
      </c>
      <c r="G43">
        <f>IF($A43="","",IFERROR(AVERAGEIFS(Orders_Log!$H:$H,Orders_Log!$C:$C,$A43,Orders_Log!$H:$H,"&gt;0"),0))</f>
        <v/>
      </c>
      <c r="H43">
        <f>IF($A43="","",COUNTIFS(Orders_Log!$C:$C,$A43,Orders_Log!$P:$P,"Returned to Picker"))</f>
        <v/>
      </c>
    </row>
    <row r="44">
      <c r="B44">
        <f>IF($A44="","",COUNTIFS(Orders_Log!$C:$C,$A44,Orders_Log!$B:$B,"&lt;&gt;"))</f>
        <v/>
      </c>
      <c r="C44">
        <f>IF($A44="","",COUNTIFS(Orders_Log!$C:$C,$A44,Orders_Log!$M:$M,"Yes"))</f>
        <v/>
      </c>
      <c r="D44" s="5">
        <f>IF(B44=0,0,C44/B44)</f>
        <v/>
      </c>
      <c r="E44">
        <f>IF($A44="","",SUMIFS(Orders_Log!$I:$I,Orders_Log!$C:$C,$A44))</f>
        <v/>
      </c>
      <c r="F44">
        <f>IF(B44=0,0,E44/B44)</f>
        <v/>
      </c>
      <c r="G44">
        <f>IF($A44="","",IFERROR(AVERAGEIFS(Orders_Log!$H:$H,Orders_Log!$C:$C,$A44,Orders_Log!$H:$H,"&gt;0"),0))</f>
        <v/>
      </c>
      <c r="H44">
        <f>IF($A44="","",COUNTIFS(Orders_Log!$C:$C,$A44,Orders_Log!$P:$P,"Returned to Picker"))</f>
        <v/>
      </c>
    </row>
    <row r="45">
      <c r="B45">
        <f>IF($A45="","",COUNTIFS(Orders_Log!$C:$C,$A45,Orders_Log!$B:$B,"&lt;&gt;"))</f>
        <v/>
      </c>
      <c r="C45">
        <f>IF($A45="","",COUNTIFS(Orders_Log!$C:$C,$A45,Orders_Log!$M:$M,"Yes"))</f>
        <v/>
      </c>
      <c r="D45" s="5">
        <f>IF(B45=0,0,C45/B45)</f>
        <v/>
      </c>
      <c r="E45">
        <f>IF($A45="","",SUMIFS(Orders_Log!$I:$I,Orders_Log!$C:$C,$A45))</f>
        <v/>
      </c>
      <c r="F45">
        <f>IF(B45=0,0,E45/B45)</f>
        <v/>
      </c>
      <c r="G45">
        <f>IF($A45="","",IFERROR(AVERAGEIFS(Orders_Log!$H:$H,Orders_Log!$C:$C,$A45,Orders_Log!$H:$H,"&gt;0"),0))</f>
        <v/>
      </c>
      <c r="H45">
        <f>IF($A45="","",COUNTIFS(Orders_Log!$C:$C,$A45,Orders_Log!$P:$P,"Returned to Picker"))</f>
        <v/>
      </c>
    </row>
    <row r="46">
      <c r="B46">
        <f>IF($A46="","",COUNTIFS(Orders_Log!$C:$C,$A46,Orders_Log!$B:$B,"&lt;&gt;"))</f>
        <v/>
      </c>
      <c r="C46">
        <f>IF($A46="","",COUNTIFS(Orders_Log!$C:$C,$A46,Orders_Log!$M:$M,"Yes"))</f>
        <v/>
      </c>
      <c r="D46" s="5">
        <f>IF(B46=0,0,C46/B46)</f>
        <v/>
      </c>
      <c r="E46">
        <f>IF($A46="","",SUMIFS(Orders_Log!$I:$I,Orders_Log!$C:$C,$A46))</f>
        <v/>
      </c>
      <c r="F46">
        <f>IF(B46=0,0,E46/B46)</f>
        <v/>
      </c>
      <c r="G46">
        <f>IF($A46="","",IFERROR(AVERAGEIFS(Orders_Log!$H:$H,Orders_Log!$C:$C,$A46,Orders_Log!$H:$H,"&gt;0"),0))</f>
        <v/>
      </c>
      <c r="H46">
        <f>IF($A46="","",COUNTIFS(Orders_Log!$C:$C,$A46,Orders_Log!$P:$P,"Returned to Picker"))</f>
        <v/>
      </c>
    </row>
    <row r="47">
      <c r="B47">
        <f>IF($A47="","",COUNTIFS(Orders_Log!$C:$C,$A47,Orders_Log!$B:$B,"&lt;&gt;"))</f>
        <v/>
      </c>
      <c r="C47">
        <f>IF($A47="","",COUNTIFS(Orders_Log!$C:$C,$A47,Orders_Log!$M:$M,"Yes"))</f>
        <v/>
      </c>
      <c r="D47" s="5">
        <f>IF(B47=0,0,C47/B47)</f>
        <v/>
      </c>
      <c r="E47">
        <f>IF($A47="","",SUMIFS(Orders_Log!$I:$I,Orders_Log!$C:$C,$A47))</f>
        <v/>
      </c>
      <c r="F47">
        <f>IF(B47=0,0,E47/B47)</f>
        <v/>
      </c>
      <c r="G47">
        <f>IF($A47="","",IFERROR(AVERAGEIFS(Orders_Log!$H:$H,Orders_Log!$C:$C,$A47,Orders_Log!$H:$H,"&gt;0"),0))</f>
        <v/>
      </c>
      <c r="H47">
        <f>IF($A47="","",COUNTIFS(Orders_Log!$C:$C,$A47,Orders_Log!$P:$P,"Returned to Picker"))</f>
        <v/>
      </c>
    </row>
    <row r="48">
      <c r="B48">
        <f>IF($A48="","",COUNTIFS(Orders_Log!$C:$C,$A48,Orders_Log!$B:$B,"&lt;&gt;"))</f>
        <v/>
      </c>
      <c r="C48">
        <f>IF($A48="","",COUNTIFS(Orders_Log!$C:$C,$A48,Orders_Log!$M:$M,"Yes"))</f>
        <v/>
      </c>
      <c r="D48" s="5">
        <f>IF(B48=0,0,C48/B48)</f>
        <v/>
      </c>
      <c r="E48">
        <f>IF($A48="","",SUMIFS(Orders_Log!$I:$I,Orders_Log!$C:$C,$A48))</f>
        <v/>
      </c>
      <c r="F48">
        <f>IF(B48=0,0,E48/B48)</f>
        <v/>
      </c>
      <c r="G48">
        <f>IF($A48="","",IFERROR(AVERAGEIFS(Orders_Log!$H:$H,Orders_Log!$C:$C,$A48,Orders_Log!$H:$H,"&gt;0"),0))</f>
        <v/>
      </c>
      <c r="H48">
        <f>IF($A48="","",COUNTIFS(Orders_Log!$C:$C,$A48,Orders_Log!$P:$P,"Returned to Picker"))</f>
        <v/>
      </c>
    </row>
    <row r="49">
      <c r="B49">
        <f>IF($A49="","",COUNTIFS(Orders_Log!$C:$C,$A49,Orders_Log!$B:$B,"&lt;&gt;"))</f>
        <v/>
      </c>
      <c r="C49">
        <f>IF($A49="","",COUNTIFS(Orders_Log!$C:$C,$A49,Orders_Log!$M:$M,"Yes"))</f>
        <v/>
      </c>
      <c r="D49" s="5">
        <f>IF(B49=0,0,C49/B49)</f>
        <v/>
      </c>
      <c r="E49">
        <f>IF($A49="","",SUMIFS(Orders_Log!$I:$I,Orders_Log!$C:$C,$A49))</f>
        <v/>
      </c>
      <c r="F49">
        <f>IF(B49=0,0,E49/B49)</f>
        <v/>
      </c>
      <c r="G49">
        <f>IF($A49="","",IFERROR(AVERAGEIFS(Orders_Log!$H:$H,Orders_Log!$C:$C,$A49,Orders_Log!$H:$H,"&gt;0"),0))</f>
        <v/>
      </c>
      <c r="H49">
        <f>IF($A49="","",COUNTIFS(Orders_Log!$C:$C,$A49,Orders_Log!$P:$P,"Returned to Picker"))</f>
        <v/>
      </c>
    </row>
    <row r="50">
      <c r="B50">
        <f>IF($A50="","",COUNTIFS(Orders_Log!$C:$C,$A50,Orders_Log!$B:$B,"&lt;&gt;"))</f>
        <v/>
      </c>
      <c r="C50">
        <f>IF($A50="","",COUNTIFS(Orders_Log!$C:$C,$A50,Orders_Log!$M:$M,"Yes"))</f>
        <v/>
      </c>
      <c r="D50" s="5">
        <f>IF(B50=0,0,C50/B50)</f>
        <v/>
      </c>
      <c r="E50">
        <f>IF($A50="","",SUMIFS(Orders_Log!$I:$I,Orders_Log!$C:$C,$A50))</f>
        <v/>
      </c>
      <c r="F50">
        <f>IF(B50=0,0,E50/B50)</f>
        <v/>
      </c>
      <c r="G50">
        <f>IF($A50="","",IFERROR(AVERAGEIFS(Orders_Log!$H:$H,Orders_Log!$C:$C,$A50,Orders_Log!$H:$H,"&gt;0"),0))</f>
        <v/>
      </c>
      <c r="H50">
        <f>IF($A50="","",COUNTIFS(Orders_Log!$C:$C,$A50,Orders_Log!$P:$P,"Returned to Picker"))</f>
        <v/>
      </c>
    </row>
    <row r="51">
      <c r="B51">
        <f>IF($A51="","",COUNTIFS(Orders_Log!$C:$C,$A51,Orders_Log!$B:$B,"&lt;&gt;"))</f>
        <v/>
      </c>
      <c r="C51">
        <f>IF($A51="","",COUNTIFS(Orders_Log!$C:$C,$A51,Orders_Log!$M:$M,"Yes"))</f>
        <v/>
      </c>
      <c r="D51" s="5">
        <f>IF(B51=0,0,C51/B51)</f>
        <v/>
      </c>
      <c r="E51">
        <f>IF($A51="","",SUMIFS(Orders_Log!$I:$I,Orders_Log!$C:$C,$A51))</f>
        <v/>
      </c>
      <c r="F51">
        <f>IF(B51=0,0,E51/B51)</f>
        <v/>
      </c>
      <c r="G51">
        <f>IF($A51="","",IFERROR(AVERAGEIFS(Orders_Log!$H:$H,Orders_Log!$C:$C,$A51,Orders_Log!$H:$H,"&gt;0"),0))</f>
        <v/>
      </c>
      <c r="H51">
        <f>IF($A51="","",COUNTIFS(Orders_Log!$C:$C,$A51,Orders_Log!$P:$P,"Returned to Picker"))</f>
        <v/>
      </c>
    </row>
    <row r="52">
      <c r="B52">
        <f>IF($A52="","",COUNTIFS(Orders_Log!$C:$C,$A52,Orders_Log!$B:$B,"&lt;&gt;"))</f>
        <v/>
      </c>
      <c r="C52">
        <f>IF($A52="","",COUNTIFS(Orders_Log!$C:$C,$A52,Orders_Log!$M:$M,"Yes"))</f>
        <v/>
      </c>
      <c r="D52" s="5">
        <f>IF(B52=0,0,C52/B52)</f>
        <v/>
      </c>
      <c r="E52">
        <f>IF($A52="","",SUMIFS(Orders_Log!$I:$I,Orders_Log!$C:$C,$A52))</f>
        <v/>
      </c>
      <c r="F52">
        <f>IF(B52=0,0,E52/B52)</f>
        <v/>
      </c>
      <c r="G52">
        <f>IF($A52="","",IFERROR(AVERAGEIFS(Orders_Log!$H:$H,Orders_Log!$C:$C,$A52,Orders_Log!$H:$H,"&gt;0"),0))</f>
        <v/>
      </c>
      <c r="H52">
        <f>IF($A52="","",COUNTIFS(Orders_Log!$C:$C,$A52,Orders_Log!$P:$P,"Returned to Picker"))</f>
        <v/>
      </c>
    </row>
    <row r="53">
      <c r="B53">
        <f>IF($A53="","",COUNTIFS(Orders_Log!$C:$C,$A53,Orders_Log!$B:$B,"&lt;&gt;"))</f>
        <v/>
      </c>
      <c r="C53">
        <f>IF($A53="","",COUNTIFS(Orders_Log!$C:$C,$A53,Orders_Log!$M:$M,"Yes"))</f>
        <v/>
      </c>
      <c r="D53" s="5">
        <f>IF(B53=0,0,C53/B53)</f>
        <v/>
      </c>
      <c r="E53">
        <f>IF($A53="","",SUMIFS(Orders_Log!$I:$I,Orders_Log!$C:$C,$A53))</f>
        <v/>
      </c>
      <c r="F53">
        <f>IF(B53=0,0,E53/B53)</f>
        <v/>
      </c>
      <c r="G53">
        <f>IF($A53="","",IFERROR(AVERAGEIFS(Orders_Log!$H:$H,Orders_Log!$C:$C,$A53,Orders_Log!$H:$H,"&gt;0"),0))</f>
        <v/>
      </c>
      <c r="H53">
        <f>IF($A53="","",COUNTIFS(Orders_Log!$C:$C,$A53,Orders_Log!$P:$P,"Returned to Picker"))</f>
        <v/>
      </c>
    </row>
    <row r="54">
      <c r="B54">
        <f>IF($A54="","",COUNTIFS(Orders_Log!$C:$C,$A54,Orders_Log!$B:$B,"&lt;&gt;"))</f>
        <v/>
      </c>
      <c r="C54">
        <f>IF($A54="","",COUNTIFS(Orders_Log!$C:$C,$A54,Orders_Log!$M:$M,"Yes"))</f>
        <v/>
      </c>
      <c r="D54" s="5">
        <f>IF(B54=0,0,C54/B54)</f>
        <v/>
      </c>
      <c r="E54">
        <f>IF($A54="","",SUMIFS(Orders_Log!$I:$I,Orders_Log!$C:$C,$A54))</f>
        <v/>
      </c>
      <c r="F54">
        <f>IF(B54=0,0,E54/B54)</f>
        <v/>
      </c>
      <c r="G54">
        <f>IF($A54="","",IFERROR(AVERAGEIFS(Orders_Log!$H:$H,Orders_Log!$C:$C,$A54,Orders_Log!$H:$H,"&gt;0"),0))</f>
        <v/>
      </c>
      <c r="H54">
        <f>IF($A54="","",COUNTIFS(Orders_Log!$C:$C,$A54,Orders_Log!$P:$P,"Returned to Picker"))</f>
        <v/>
      </c>
    </row>
    <row r="55">
      <c r="B55">
        <f>IF($A55="","",COUNTIFS(Orders_Log!$C:$C,$A55,Orders_Log!$B:$B,"&lt;&gt;"))</f>
        <v/>
      </c>
      <c r="C55">
        <f>IF($A55="","",COUNTIFS(Orders_Log!$C:$C,$A55,Orders_Log!$M:$M,"Yes"))</f>
        <v/>
      </c>
      <c r="D55" s="5">
        <f>IF(B55=0,0,C55/B55)</f>
        <v/>
      </c>
      <c r="E55">
        <f>IF($A55="","",SUMIFS(Orders_Log!$I:$I,Orders_Log!$C:$C,$A55))</f>
        <v/>
      </c>
      <c r="F55">
        <f>IF(B55=0,0,E55/B55)</f>
        <v/>
      </c>
      <c r="G55">
        <f>IF($A55="","",IFERROR(AVERAGEIFS(Orders_Log!$H:$H,Orders_Log!$C:$C,$A55,Orders_Log!$H:$H,"&gt;0"),0))</f>
        <v/>
      </c>
      <c r="H55">
        <f>IF($A55="","",COUNTIFS(Orders_Log!$C:$C,$A55,Orders_Log!$P:$P,"Returned to Picker"))</f>
        <v/>
      </c>
    </row>
    <row r="56">
      <c r="B56">
        <f>IF($A56="","",COUNTIFS(Orders_Log!$C:$C,$A56,Orders_Log!$B:$B,"&lt;&gt;"))</f>
        <v/>
      </c>
      <c r="C56">
        <f>IF($A56="","",COUNTIFS(Orders_Log!$C:$C,$A56,Orders_Log!$M:$M,"Yes"))</f>
        <v/>
      </c>
      <c r="D56" s="5">
        <f>IF(B56=0,0,C56/B56)</f>
        <v/>
      </c>
      <c r="E56">
        <f>IF($A56="","",SUMIFS(Orders_Log!$I:$I,Orders_Log!$C:$C,$A56))</f>
        <v/>
      </c>
      <c r="F56">
        <f>IF(B56=0,0,E56/B56)</f>
        <v/>
      </c>
      <c r="G56">
        <f>IF($A56="","",IFERROR(AVERAGEIFS(Orders_Log!$H:$H,Orders_Log!$C:$C,$A56,Orders_Log!$H:$H,"&gt;0"),0))</f>
        <v/>
      </c>
      <c r="H56">
        <f>IF($A56="","",COUNTIFS(Orders_Log!$C:$C,$A56,Orders_Log!$P:$P,"Returned to Picker"))</f>
        <v/>
      </c>
    </row>
    <row r="57">
      <c r="B57">
        <f>IF($A57="","",COUNTIFS(Orders_Log!$C:$C,$A57,Orders_Log!$B:$B,"&lt;&gt;"))</f>
        <v/>
      </c>
      <c r="C57">
        <f>IF($A57="","",COUNTIFS(Orders_Log!$C:$C,$A57,Orders_Log!$M:$M,"Yes"))</f>
        <v/>
      </c>
      <c r="D57" s="5">
        <f>IF(B57=0,0,C57/B57)</f>
        <v/>
      </c>
      <c r="E57">
        <f>IF($A57="","",SUMIFS(Orders_Log!$I:$I,Orders_Log!$C:$C,$A57))</f>
        <v/>
      </c>
      <c r="F57">
        <f>IF(B57=0,0,E57/B57)</f>
        <v/>
      </c>
      <c r="G57">
        <f>IF($A57="","",IFERROR(AVERAGEIFS(Orders_Log!$H:$H,Orders_Log!$C:$C,$A57,Orders_Log!$H:$H,"&gt;0"),0))</f>
        <v/>
      </c>
      <c r="H57">
        <f>IF($A57="","",COUNTIFS(Orders_Log!$C:$C,$A57,Orders_Log!$P:$P,"Returned to Picker"))</f>
        <v/>
      </c>
    </row>
    <row r="58">
      <c r="B58">
        <f>IF($A58="","",COUNTIFS(Orders_Log!$C:$C,$A58,Orders_Log!$B:$B,"&lt;&gt;"))</f>
        <v/>
      </c>
      <c r="C58">
        <f>IF($A58="","",COUNTIFS(Orders_Log!$C:$C,$A58,Orders_Log!$M:$M,"Yes"))</f>
        <v/>
      </c>
      <c r="D58" s="5">
        <f>IF(B58=0,0,C58/B58)</f>
        <v/>
      </c>
      <c r="E58">
        <f>IF($A58="","",SUMIFS(Orders_Log!$I:$I,Orders_Log!$C:$C,$A58))</f>
        <v/>
      </c>
      <c r="F58">
        <f>IF(B58=0,0,E58/B58)</f>
        <v/>
      </c>
      <c r="G58">
        <f>IF($A58="","",IFERROR(AVERAGEIFS(Orders_Log!$H:$H,Orders_Log!$C:$C,$A58,Orders_Log!$H:$H,"&gt;0"),0))</f>
        <v/>
      </c>
      <c r="H58">
        <f>IF($A58="","",COUNTIFS(Orders_Log!$C:$C,$A58,Orders_Log!$P:$P,"Returned to Picker"))</f>
        <v/>
      </c>
    </row>
    <row r="59">
      <c r="B59">
        <f>IF($A59="","",COUNTIFS(Orders_Log!$C:$C,$A59,Orders_Log!$B:$B,"&lt;&gt;"))</f>
        <v/>
      </c>
      <c r="C59">
        <f>IF($A59="","",COUNTIFS(Orders_Log!$C:$C,$A59,Orders_Log!$M:$M,"Yes"))</f>
        <v/>
      </c>
      <c r="D59" s="5">
        <f>IF(B59=0,0,C59/B59)</f>
        <v/>
      </c>
      <c r="E59">
        <f>IF($A59="","",SUMIFS(Orders_Log!$I:$I,Orders_Log!$C:$C,$A59))</f>
        <v/>
      </c>
      <c r="F59">
        <f>IF(B59=0,0,E59/B59)</f>
        <v/>
      </c>
      <c r="G59">
        <f>IF($A59="","",IFERROR(AVERAGEIFS(Orders_Log!$H:$H,Orders_Log!$C:$C,$A59,Orders_Log!$H:$H,"&gt;0"),0))</f>
        <v/>
      </c>
      <c r="H59">
        <f>IF($A59="","",COUNTIFS(Orders_Log!$C:$C,$A59,Orders_Log!$P:$P,"Returned to Picker"))</f>
        <v/>
      </c>
    </row>
    <row r="60">
      <c r="B60">
        <f>IF($A60="","",COUNTIFS(Orders_Log!$C:$C,$A60,Orders_Log!$B:$B,"&lt;&gt;"))</f>
        <v/>
      </c>
      <c r="C60">
        <f>IF($A60="","",COUNTIFS(Orders_Log!$C:$C,$A60,Orders_Log!$M:$M,"Yes"))</f>
        <v/>
      </c>
      <c r="D60" s="5">
        <f>IF(B60=0,0,C60/B60)</f>
        <v/>
      </c>
      <c r="E60">
        <f>IF($A60="","",SUMIFS(Orders_Log!$I:$I,Orders_Log!$C:$C,$A60))</f>
        <v/>
      </c>
      <c r="F60">
        <f>IF(B60=0,0,E60/B60)</f>
        <v/>
      </c>
      <c r="G60">
        <f>IF($A60="","",IFERROR(AVERAGEIFS(Orders_Log!$H:$H,Orders_Log!$C:$C,$A60,Orders_Log!$H:$H,"&gt;0"),0))</f>
        <v/>
      </c>
      <c r="H60">
        <f>IF($A60="","",COUNTIFS(Orders_Log!$C:$C,$A60,Orders_Log!$P:$P,"Returned to Picker"))</f>
        <v/>
      </c>
    </row>
    <row r="61">
      <c r="B61">
        <f>IF($A61="","",COUNTIFS(Orders_Log!$C:$C,$A61,Orders_Log!$B:$B,"&lt;&gt;"))</f>
        <v/>
      </c>
      <c r="C61">
        <f>IF($A61="","",COUNTIFS(Orders_Log!$C:$C,$A61,Orders_Log!$M:$M,"Yes"))</f>
        <v/>
      </c>
      <c r="D61" s="5">
        <f>IF(B61=0,0,C61/B61)</f>
        <v/>
      </c>
      <c r="E61">
        <f>IF($A61="","",SUMIFS(Orders_Log!$I:$I,Orders_Log!$C:$C,$A61))</f>
        <v/>
      </c>
      <c r="F61">
        <f>IF(B61=0,0,E61/B61)</f>
        <v/>
      </c>
      <c r="G61">
        <f>IF($A61="","",IFERROR(AVERAGEIFS(Orders_Log!$H:$H,Orders_Log!$C:$C,$A61,Orders_Log!$H:$H,"&gt;0"),0))</f>
        <v/>
      </c>
      <c r="H61">
        <f>IF($A61="","",COUNTIFS(Orders_Log!$C:$C,$A61,Orders_Log!$P:$P,"Returned to Picker"))</f>
        <v/>
      </c>
    </row>
    <row r="62">
      <c r="B62">
        <f>IF($A62="","",COUNTIFS(Orders_Log!$C:$C,$A62,Orders_Log!$B:$B,"&lt;&gt;"))</f>
        <v/>
      </c>
      <c r="C62">
        <f>IF($A62="","",COUNTIFS(Orders_Log!$C:$C,$A62,Orders_Log!$M:$M,"Yes"))</f>
        <v/>
      </c>
      <c r="D62" s="5">
        <f>IF(B62=0,0,C62/B62)</f>
        <v/>
      </c>
      <c r="E62">
        <f>IF($A62="","",SUMIFS(Orders_Log!$I:$I,Orders_Log!$C:$C,$A62))</f>
        <v/>
      </c>
      <c r="F62">
        <f>IF(B62=0,0,E62/B62)</f>
        <v/>
      </c>
      <c r="G62">
        <f>IF($A62="","",IFERROR(AVERAGEIFS(Orders_Log!$H:$H,Orders_Log!$C:$C,$A62,Orders_Log!$H:$H,"&gt;0"),0))</f>
        <v/>
      </c>
      <c r="H62">
        <f>IF($A62="","",COUNTIFS(Orders_Log!$C:$C,$A62,Orders_Log!$P:$P,"Returned to Picker"))</f>
        <v/>
      </c>
    </row>
    <row r="63">
      <c r="B63">
        <f>IF($A63="","",COUNTIFS(Orders_Log!$C:$C,$A63,Orders_Log!$B:$B,"&lt;&gt;"))</f>
        <v/>
      </c>
      <c r="C63">
        <f>IF($A63="","",COUNTIFS(Orders_Log!$C:$C,$A63,Orders_Log!$M:$M,"Yes"))</f>
        <v/>
      </c>
      <c r="D63" s="5">
        <f>IF(B63=0,0,C63/B63)</f>
        <v/>
      </c>
      <c r="E63">
        <f>IF($A63="","",SUMIFS(Orders_Log!$I:$I,Orders_Log!$C:$C,$A63))</f>
        <v/>
      </c>
      <c r="F63">
        <f>IF(B63=0,0,E63/B63)</f>
        <v/>
      </c>
      <c r="G63">
        <f>IF($A63="","",IFERROR(AVERAGEIFS(Orders_Log!$H:$H,Orders_Log!$C:$C,$A63,Orders_Log!$H:$H,"&gt;0"),0))</f>
        <v/>
      </c>
      <c r="H63">
        <f>IF($A63="","",COUNTIFS(Orders_Log!$C:$C,$A63,Orders_Log!$P:$P,"Returned to Picker"))</f>
        <v/>
      </c>
    </row>
    <row r="64">
      <c r="B64">
        <f>IF($A64="","",COUNTIFS(Orders_Log!$C:$C,$A64,Orders_Log!$B:$B,"&lt;&gt;"))</f>
        <v/>
      </c>
      <c r="C64">
        <f>IF($A64="","",COUNTIFS(Orders_Log!$C:$C,$A64,Orders_Log!$M:$M,"Yes"))</f>
        <v/>
      </c>
      <c r="D64" s="5">
        <f>IF(B64=0,0,C64/B64)</f>
        <v/>
      </c>
      <c r="E64">
        <f>IF($A64="","",SUMIFS(Orders_Log!$I:$I,Orders_Log!$C:$C,$A64))</f>
        <v/>
      </c>
      <c r="F64">
        <f>IF(B64=0,0,E64/B64)</f>
        <v/>
      </c>
      <c r="G64">
        <f>IF($A64="","",IFERROR(AVERAGEIFS(Orders_Log!$H:$H,Orders_Log!$C:$C,$A64,Orders_Log!$H:$H,"&gt;0"),0))</f>
        <v/>
      </c>
      <c r="H64">
        <f>IF($A64="","",COUNTIFS(Orders_Log!$C:$C,$A64,Orders_Log!$P:$P,"Returned to Picker"))</f>
        <v/>
      </c>
    </row>
    <row r="65">
      <c r="B65">
        <f>IF($A65="","",COUNTIFS(Orders_Log!$C:$C,$A65,Orders_Log!$B:$B,"&lt;&gt;"))</f>
        <v/>
      </c>
      <c r="C65">
        <f>IF($A65="","",COUNTIFS(Orders_Log!$C:$C,$A65,Orders_Log!$M:$M,"Yes"))</f>
        <v/>
      </c>
      <c r="D65" s="5">
        <f>IF(B65=0,0,C65/B65)</f>
        <v/>
      </c>
      <c r="E65">
        <f>IF($A65="","",SUMIFS(Orders_Log!$I:$I,Orders_Log!$C:$C,$A65))</f>
        <v/>
      </c>
      <c r="F65">
        <f>IF(B65=0,0,E65/B65)</f>
        <v/>
      </c>
      <c r="G65">
        <f>IF($A65="","",IFERROR(AVERAGEIFS(Orders_Log!$H:$H,Orders_Log!$C:$C,$A65,Orders_Log!$H:$H,"&gt;0"),0))</f>
        <v/>
      </c>
      <c r="H65">
        <f>IF($A65="","",COUNTIFS(Orders_Log!$C:$C,$A65,Orders_Log!$P:$P,"Returned to Picker"))</f>
        <v/>
      </c>
    </row>
    <row r="66">
      <c r="B66">
        <f>IF($A66="","",COUNTIFS(Orders_Log!$C:$C,$A66,Orders_Log!$B:$B,"&lt;&gt;"))</f>
        <v/>
      </c>
      <c r="C66">
        <f>IF($A66="","",COUNTIFS(Orders_Log!$C:$C,$A66,Orders_Log!$M:$M,"Yes"))</f>
        <v/>
      </c>
      <c r="D66" s="5">
        <f>IF(B66=0,0,C66/B66)</f>
        <v/>
      </c>
      <c r="E66">
        <f>IF($A66="","",SUMIFS(Orders_Log!$I:$I,Orders_Log!$C:$C,$A66))</f>
        <v/>
      </c>
      <c r="F66">
        <f>IF(B66=0,0,E66/B66)</f>
        <v/>
      </c>
      <c r="G66">
        <f>IF($A66="","",IFERROR(AVERAGEIFS(Orders_Log!$H:$H,Orders_Log!$C:$C,$A66,Orders_Log!$H:$H,"&gt;0"),0))</f>
        <v/>
      </c>
      <c r="H66">
        <f>IF($A66="","",COUNTIFS(Orders_Log!$C:$C,$A66,Orders_Log!$P:$P,"Returned to Picker"))</f>
        <v/>
      </c>
    </row>
    <row r="67">
      <c r="B67">
        <f>IF($A67="","",COUNTIFS(Orders_Log!$C:$C,$A67,Orders_Log!$B:$B,"&lt;&gt;"))</f>
        <v/>
      </c>
      <c r="C67">
        <f>IF($A67="","",COUNTIFS(Orders_Log!$C:$C,$A67,Orders_Log!$M:$M,"Yes"))</f>
        <v/>
      </c>
      <c r="D67" s="5">
        <f>IF(B67=0,0,C67/B67)</f>
        <v/>
      </c>
      <c r="E67">
        <f>IF($A67="","",SUMIFS(Orders_Log!$I:$I,Orders_Log!$C:$C,$A67))</f>
        <v/>
      </c>
      <c r="F67">
        <f>IF(B67=0,0,E67/B67)</f>
        <v/>
      </c>
      <c r="G67">
        <f>IF($A67="","",IFERROR(AVERAGEIFS(Orders_Log!$H:$H,Orders_Log!$C:$C,$A67,Orders_Log!$H:$H,"&gt;0"),0))</f>
        <v/>
      </c>
      <c r="H67">
        <f>IF($A67="","",COUNTIFS(Orders_Log!$C:$C,$A67,Orders_Log!$P:$P,"Returned to Picker"))</f>
        <v/>
      </c>
    </row>
    <row r="68">
      <c r="B68">
        <f>IF($A68="","",COUNTIFS(Orders_Log!$C:$C,$A68,Orders_Log!$B:$B,"&lt;&gt;"))</f>
        <v/>
      </c>
      <c r="C68">
        <f>IF($A68="","",COUNTIFS(Orders_Log!$C:$C,$A68,Orders_Log!$M:$M,"Yes"))</f>
        <v/>
      </c>
      <c r="D68" s="5">
        <f>IF(B68=0,0,C68/B68)</f>
        <v/>
      </c>
      <c r="E68">
        <f>IF($A68="","",SUMIFS(Orders_Log!$I:$I,Orders_Log!$C:$C,$A68))</f>
        <v/>
      </c>
      <c r="F68">
        <f>IF(B68=0,0,E68/B68)</f>
        <v/>
      </c>
      <c r="G68">
        <f>IF($A68="","",IFERROR(AVERAGEIFS(Orders_Log!$H:$H,Orders_Log!$C:$C,$A68,Orders_Log!$H:$H,"&gt;0"),0))</f>
        <v/>
      </c>
      <c r="H68">
        <f>IF($A68="","",COUNTIFS(Orders_Log!$C:$C,$A68,Orders_Log!$P:$P,"Returned to Picker"))</f>
        <v/>
      </c>
    </row>
    <row r="69">
      <c r="B69">
        <f>IF($A69="","",COUNTIFS(Orders_Log!$C:$C,$A69,Orders_Log!$B:$B,"&lt;&gt;"))</f>
        <v/>
      </c>
      <c r="C69">
        <f>IF($A69="","",COUNTIFS(Orders_Log!$C:$C,$A69,Orders_Log!$M:$M,"Yes"))</f>
        <v/>
      </c>
      <c r="D69" s="5">
        <f>IF(B69=0,0,C69/B69)</f>
        <v/>
      </c>
      <c r="E69">
        <f>IF($A69="","",SUMIFS(Orders_Log!$I:$I,Orders_Log!$C:$C,$A69))</f>
        <v/>
      </c>
      <c r="F69">
        <f>IF(B69=0,0,E69/B69)</f>
        <v/>
      </c>
      <c r="G69">
        <f>IF($A69="","",IFERROR(AVERAGEIFS(Orders_Log!$H:$H,Orders_Log!$C:$C,$A69,Orders_Log!$H:$H,"&gt;0"),0))</f>
        <v/>
      </c>
      <c r="H69">
        <f>IF($A69="","",COUNTIFS(Orders_Log!$C:$C,$A69,Orders_Log!$P:$P,"Returned to Picker"))</f>
        <v/>
      </c>
    </row>
    <row r="70">
      <c r="B70">
        <f>IF($A70="","",COUNTIFS(Orders_Log!$C:$C,$A70,Orders_Log!$B:$B,"&lt;&gt;"))</f>
        <v/>
      </c>
      <c r="C70">
        <f>IF($A70="","",COUNTIFS(Orders_Log!$C:$C,$A70,Orders_Log!$M:$M,"Yes"))</f>
        <v/>
      </c>
      <c r="D70" s="5">
        <f>IF(B70=0,0,C70/B70)</f>
        <v/>
      </c>
      <c r="E70">
        <f>IF($A70="","",SUMIFS(Orders_Log!$I:$I,Orders_Log!$C:$C,$A70))</f>
        <v/>
      </c>
      <c r="F70">
        <f>IF(B70=0,0,E70/B70)</f>
        <v/>
      </c>
      <c r="G70">
        <f>IF($A70="","",IFERROR(AVERAGEIFS(Orders_Log!$H:$H,Orders_Log!$C:$C,$A70,Orders_Log!$H:$H,"&gt;0"),0))</f>
        <v/>
      </c>
      <c r="H70">
        <f>IF($A70="","",COUNTIFS(Orders_Log!$C:$C,$A70,Orders_Log!$P:$P,"Returned to Picker"))</f>
        <v/>
      </c>
    </row>
    <row r="71">
      <c r="B71">
        <f>IF($A71="","",COUNTIFS(Orders_Log!$C:$C,$A71,Orders_Log!$B:$B,"&lt;&gt;"))</f>
        <v/>
      </c>
      <c r="C71">
        <f>IF($A71="","",COUNTIFS(Orders_Log!$C:$C,$A71,Orders_Log!$M:$M,"Yes"))</f>
        <v/>
      </c>
      <c r="D71" s="5">
        <f>IF(B71=0,0,C71/B71)</f>
        <v/>
      </c>
      <c r="E71">
        <f>IF($A71="","",SUMIFS(Orders_Log!$I:$I,Orders_Log!$C:$C,$A71))</f>
        <v/>
      </c>
      <c r="F71">
        <f>IF(B71=0,0,E71/B71)</f>
        <v/>
      </c>
      <c r="G71">
        <f>IF($A71="","",IFERROR(AVERAGEIFS(Orders_Log!$H:$H,Orders_Log!$C:$C,$A71,Orders_Log!$H:$H,"&gt;0"),0))</f>
        <v/>
      </c>
      <c r="H71">
        <f>IF($A71="","",COUNTIFS(Orders_Log!$C:$C,$A71,Orders_Log!$P:$P,"Returned to Picker"))</f>
        <v/>
      </c>
    </row>
    <row r="72">
      <c r="B72">
        <f>IF($A72="","",COUNTIFS(Orders_Log!$C:$C,$A72,Orders_Log!$B:$B,"&lt;&gt;"))</f>
        <v/>
      </c>
      <c r="C72">
        <f>IF($A72="","",COUNTIFS(Orders_Log!$C:$C,$A72,Orders_Log!$M:$M,"Yes"))</f>
        <v/>
      </c>
      <c r="D72" s="5">
        <f>IF(B72=0,0,C72/B72)</f>
        <v/>
      </c>
      <c r="E72">
        <f>IF($A72="","",SUMIFS(Orders_Log!$I:$I,Orders_Log!$C:$C,$A72))</f>
        <v/>
      </c>
      <c r="F72">
        <f>IF(B72=0,0,E72/B72)</f>
        <v/>
      </c>
      <c r="G72">
        <f>IF($A72="","",IFERROR(AVERAGEIFS(Orders_Log!$H:$H,Orders_Log!$C:$C,$A72,Orders_Log!$H:$H,"&gt;0"),0))</f>
        <v/>
      </c>
      <c r="H72">
        <f>IF($A72="","",COUNTIFS(Orders_Log!$C:$C,$A72,Orders_Log!$P:$P,"Returned to Picker"))</f>
        <v/>
      </c>
    </row>
    <row r="73">
      <c r="B73">
        <f>IF($A73="","",COUNTIFS(Orders_Log!$C:$C,$A73,Orders_Log!$B:$B,"&lt;&gt;"))</f>
        <v/>
      </c>
      <c r="C73">
        <f>IF($A73="","",COUNTIFS(Orders_Log!$C:$C,$A73,Orders_Log!$M:$M,"Yes"))</f>
        <v/>
      </c>
      <c r="D73" s="5">
        <f>IF(B73=0,0,C73/B73)</f>
        <v/>
      </c>
      <c r="E73">
        <f>IF($A73="","",SUMIFS(Orders_Log!$I:$I,Orders_Log!$C:$C,$A73))</f>
        <v/>
      </c>
      <c r="F73">
        <f>IF(B73=0,0,E73/B73)</f>
        <v/>
      </c>
      <c r="G73">
        <f>IF($A73="","",IFERROR(AVERAGEIFS(Orders_Log!$H:$H,Orders_Log!$C:$C,$A73,Orders_Log!$H:$H,"&gt;0"),0))</f>
        <v/>
      </c>
      <c r="H73">
        <f>IF($A73="","",COUNTIFS(Orders_Log!$C:$C,$A73,Orders_Log!$P:$P,"Returned to Picker"))</f>
        <v/>
      </c>
    </row>
    <row r="74">
      <c r="B74">
        <f>IF($A74="","",COUNTIFS(Orders_Log!$C:$C,$A74,Orders_Log!$B:$B,"&lt;&gt;"))</f>
        <v/>
      </c>
      <c r="C74">
        <f>IF($A74="","",COUNTIFS(Orders_Log!$C:$C,$A74,Orders_Log!$M:$M,"Yes"))</f>
        <v/>
      </c>
      <c r="D74" s="5">
        <f>IF(B74=0,0,C74/B74)</f>
        <v/>
      </c>
      <c r="E74">
        <f>IF($A74="","",SUMIFS(Orders_Log!$I:$I,Orders_Log!$C:$C,$A74))</f>
        <v/>
      </c>
      <c r="F74">
        <f>IF(B74=0,0,E74/B74)</f>
        <v/>
      </c>
      <c r="G74">
        <f>IF($A74="","",IFERROR(AVERAGEIFS(Orders_Log!$H:$H,Orders_Log!$C:$C,$A74,Orders_Log!$H:$H,"&gt;0"),0))</f>
        <v/>
      </c>
      <c r="H74">
        <f>IF($A74="","",COUNTIFS(Orders_Log!$C:$C,$A74,Orders_Log!$P:$P,"Returned to Picker"))</f>
        <v/>
      </c>
    </row>
    <row r="75">
      <c r="B75">
        <f>IF($A75="","",COUNTIFS(Orders_Log!$C:$C,$A75,Orders_Log!$B:$B,"&lt;&gt;"))</f>
        <v/>
      </c>
      <c r="C75">
        <f>IF($A75="","",COUNTIFS(Orders_Log!$C:$C,$A75,Orders_Log!$M:$M,"Yes"))</f>
        <v/>
      </c>
      <c r="D75" s="5">
        <f>IF(B75=0,0,C75/B75)</f>
        <v/>
      </c>
      <c r="E75">
        <f>IF($A75="","",SUMIFS(Orders_Log!$I:$I,Orders_Log!$C:$C,$A75))</f>
        <v/>
      </c>
      <c r="F75">
        <f>IF(B75=0,0,E75/B75)</f>
        <v/>
      </c>
      <c r="G75">
        <f>IF($A75="","",IFERROR(AVERAGEIFS(Orders_Log!$H:$H,Orders_Log!$C:$C,$A75,Orders_Log!$H:$H,"&gt;0"),0))</f>
        <v/>
      </c>
      <c r="H75">
        <f>IF($A75="","",COUNTIFS(Orders_Log!$C:$C,$A75,Orders_Log!$P:$P,"Returned to Picker"))</f>
        <v/>
      </c>
    </row>
    <row r="76">
      <c r="B76">
        <f>IF($A76="","",COUNTIFS(Orders_Log!$C:$C,$A76,Orders_Log!$B:$B,"&lt;&gt;"))</f>
        <v/>
      </c>
      <c r="C76">
        <f>IF($A76="","",COUNTIFS(Orders_Log!$C:$C,$A76,Orders_Log!$M:$M,"Yes"))</f>
        <v/>
      </c>
      <c r="D76" s="5">
        <f>IF(B76=0,0,C76/B76)</f>
        <v/>
      </c>
      <c r="E76">
        <f>IF($A76="","",SUMIFS(Orders_Log!$I:$I,Orders_Log!$C:$C,$A76))</f>
        <v/>
      </c>
      <c r="F76">
        <f>IF(B76=0,0,E76/B76)</f>
        <v/>
      </c>
      <c r="G76">
        <f>IF($A76="","",IFERROR(AVERAGEIFS(Orders_Log!$H:$H,Orders_Log!$C:$C,$A76,Orders_Log!$H:$H,"&gt;0"),0))</f>
        <v/>
      </c>
      <c r="H76">
        <f>IF($A76="","",COUNTIFS(Orders_Log!$C:$C,$A76,Orders_Log!$P:$P,"Returned to Picker"))</f>
        <v/>
      </c>
    </row>
    <row r="77">
      <c r="B77">
        <f>IF($A77="","",COUNTIFS(Orders_Log!$C:$C,$A77,Orders_Log!$B:$B,"&lt;&gt;"))</f>
        <v/>
      </c>
      <c r="C77">
        <f>IF($A77="","",COUNTIFS(Orders_Log!$C:$C,$A77,Orders_Log!$M:$M,"Yes"))</f>
        <v/>
      </c>
      <c r="D77" s="5">
        <f>IF(B77=0,0,C77/B77)</f>
        <v/>
      </c>
      <c r="E77">
        <f>IF($A77="","",SUMIFS(Orders_Log!$I:$I,Orders_Log!$C:$C,$A77))</f>
        <v/>
      </c>
      <c r="F77">
        <f>IF(B77=0,0,E77/B77)</f>
        <v/>
      </c>
      <c r="G77">
        <f>IF($A77="","",IFERROR(AVERAGEIFS(Orders_Log!$H:$H,Orders_Log!$C:$C,$A77,Orders_Log!$H:$H,"&gt;0"),0))</f>
        <v/>
      </c>
      <c r="H77">
        <f>IF($A77="","",COUNTIFS(Orders_Log!$C:$C,$A77,Orders_Log!$P:$P,"Returned to Picker"))</f>
        <v/>
      </c>
    </row>
    <row r="78">
      <c r="B78">
        <f>IF($A78="","",COUNTIFS(Orders_Log!$C:$C,$A78,Orders_Log!$B:$B,"&lt;&gt;"))</f>
        <v/>
      </c>
      <c r="C78">
        <f>IF($A78="","",COUNTIFS(Orders_Log!$C:$C,$A78,Orders_Log!$M:$M,"Yes"))</f>
        <v/>
      </c>
      <c r="D78" s="5">
        <f>IF(B78=0,0,C78/B78)</f>
        <v/>
      </c>
      <c r="E78">
        <f>IF($A78="","",SUMIFS(Orders_Log!$I:$I,Orders_Log!$C:$C,$A78))</f>
        <v/>
      </c>
      <c r="F78">
        <f>IF(B78=0,0,E78/B78)</f>
        <v/>
      </c>
      <c r="G78">
        <f>IF($A78="","",IFERROR(AVERAGEIFS(Orders_Log!$H:$H,Orders_Log!$C:$C,$A78,Orders_Log!$H:$H,"&gt;0"),0))</f>
        <v/>
      </c>
      <c r="H78">
        <f>IF($A78="","",COUNTIFS(Orders_Log!$C:$C,$A78,Orders_Log!$P:$P,"Returned to Picker"))</f>
        <v/>
      </c>
    </row>
    <row r="79">
      <c r="B79">
        <f>IF($A79="","",COUNTIFS(Orders_Log!$C:$C,$A79,Orders_Log!$B:$B,"&lt;&gt;"))</f>
        <v/>
      </c>
      <c r="C79">
        <f>IF($A79="","",COUNTIFS(Orders_Log!$C:$C,$A79,Orders_Log!$M:$M,"Yes"))</f>
        <v/>
      </c>
      <c r="D79" s="5">
        <f>IF(B79=0,0,C79/B79)</f>
        <v/>
      </c>
      <c r="E79">
        <f>IF($A79="","",SUMIFS(Orders_Log!$I:$I,Orders_Log!$C:$C,$A79))</f>
        <v/>
      </c>
      <c r="F79">
        <f>IF(B79=0,0,E79/B79)</f>
        <v/>
      </c>
      <c r="G79">
        <f>IF($A79="","",IFERROR(AVERAGEIFS(Orders_Log!$H:$H,Orders_Log!$C:$C,$A79,Orders_Log!$H:$H,"&gt;0"),0))</f>
        <v/>
      </c>
      <c r="H79">
        <f>IF($A79="","",COUNTIFS(Orders_Log!$C:$C,$A79,Orders_Log!$P:$P,"Returned to Picker"))</f>
        <v/>
      </c>
    </row>
    <row r="80">
      <c r="B80">
        <f>IF($A80="","",COUNTIFS(Orders_Log!$C:$C,$A80,Orders_Log!$B:$B,"&lt;&gt;"))</f>
        <v/>
      </c>
      <c r="C80">
        <f>IF($A80="","",COUNTIFS(Orders_Log!$C:$C,$A80,Orders_Log!$M:$M,"Yes"))</f>
        <v/>
      </c>
      <c r="D80" s="5">
        <f>IF(B80=0,0,C80/B80)</f>
        <v/>
      </c>
      <c r="E80">
        <f>IF($A80="","",SUMIFS(Orders_Log!$I:$I,Orders_Log!$C:$C,$A80))</f>
        <v/>
      </c>
      <c r="F80">
        <f>IF(B80=0,0,E80/B80)</f>
        <v/>
      </c>
      <c r="G80">
        <f>IF($A80="","",IFERROR(AVERAGEIFS(Orders_Log!$H:$H,Orders_Log!$C:$C,$A80,Orders_Log!$H:$H,"&gt;0"),0))</f>
        <v/>
      </c>
      <c r="H80">
        <f>IF($A80="","",COUNTIFS(Orders_Log!$C:$C,$A80,Orders_Log!$P:$P,"Returned to Picker"))</f>
        <v/>
      </c>
    </row>
    <row r="81">
      <c r="B81">
        <f>IF($A81="","",COUNTIFS(Orders_Log!$C:$C,$A81,Orders_Log!$B:$B,"&lt;&gt;"))</f>
        <v/>
      </c>
      <c r="C81">
        <f>IF($A81="","",COUNTIFS(Orders_Log!$C:$C,$A81,Orders_Log!$M:$M,"Yes"))</f>
        <v/>
      </c>
      <c r="D81" s="5">
        <f>IF(B81=0,0,C81/B81)</f>
        <v/>
      </c>
      <c r="E81">
        <f>IF($A81="","",SUMIFS(Orders_Log!$I:$I,Orders_Log!$C:$C,$A81))</f>
        <v/>
      </c>
      <c r="F81">
        <f>IF(B81=0,0,E81/B81)</f>
        <v/>
      </c>
      <c r="G81">
        <f>IF($A81="","",IFERROR(AVERAGEIFS(Orders_Log!$H:$H,Orders_Log!$C:$C,$A81,Orders_Log!$H:$H,"&gt;0"),0))</f>
        <v/>
      </c>
      <c r="H81">
        <f>IF($A81="","",COUNTIFS(Orders_Log!$C:$C,$A81,Orders_Log!$P:$P,"Returned to Picker"))</f>
        <v/>
      </c>
    </row>
    <row r="82">
      <c r="B82">
        <f>IF($A82="","",COUNTIFS(Orders_Log!$C:$C,$A82,Orders_Log!$B:$B,"&lt;&gt;"))</f>
        <v/>
      </c>
      <c r="C82">
        <f>IF($A82="","",COUNTIFS(Orders_Log!$C:$C,$A82,Orders_Log!$M:$M,"Yes"))</f>
        <v/>
      </c>
      <c r="D82" s="5">
        <f>IF(B82=0,0,C82/B82)</f>
        <v/>
      </c>
      <c r="E82">
        <f>IF($A82="","",SUMIFS(Orders_Log!$I:$I,Orders_Log!$C:$C,$A82))</f>
        <v/>
      </c>
      <c r="F82">
        <f>IF(B82=0,0,E82/B82)</f>
        <v/>
      </c>
      <c r="G82">
        <f>IF($A82="","",IFERROR(AVERAGEIFS(Orders_Log!$H:$H,Orders_Log!$C:$C,$A82,Orders_Log!$H:$H,"&gt;0"),0))</f>
        <v/>
      </c>
      <c r="H82">
        <f>IF($A82="","",COUNTIFS(Orders_Log!$C:$C,$A82,Orders_Log!$P:$P,"Returned to Picker"))</f>
        <v/>
      </c>
    </row>
    <row r="83">
      <c r="B83">
        <f>IF($A83="","",COUNTIFS(Orders_Log!$C:$C,$A83,Orders_Log!$B:$B,"&lt;&gt;"))</f>
        <v/>
      </c>
      <c r="C83">
        <f>IF($A83="","",COUNTIFS(Orders_Log!$C:$C,$A83,Orders_Log!$M:$M,"Yes"))</f>
        <v/>
      </c>
      <c r="D83" s="5">
        <f>IF(B83=0,0,C83/B83)</f>
        <v/>
      </c>
      <c r="E83">
        <f>IF($A83="","",SUMIFS(Orders_Log!$I:$I,Orders_Log!$C:$C,$A83))</f>
        <v/>
      </c>
      <c r="F83">
        <f>IF(B83=0,0,E83/B83)</f>
        <v/>
      </c>
      <c r="G83">
        <f>IF($A83="","",IFERROR(AVERAGEIFS(Orders_Log!$H:$H,Orders_Log!$C:$C,$A83,Orders_Log!$H:$H,"&gt;0"),0))</f>
        <v/>
      </c>
      <c r="H83">
        <f>IF($A83="","",COUNTIFS(Orders_Log!$C:$C,$A83,Orders_Log!$P:$P,"Returned to Picker"))</f>
        <v/>
      </c>
    </row>
    <row r="84">
      <c r="B84">
        <f>IF($A84="","",COUNTIFS(Orders_Log!$C:$C,$A84,Orders_Log!$B:$B,"&lt;&gt;"))</f>
        <v/>
      </c>
      <c r="C84">
        <f>IF($A84="","",COUNTIFS(Orders_Log!$C:$C,$A84,Orders_Log!$M:$M,"Yes"))</f>
        <v/>
      </c>
      <c r="D84" s="5">
        <f>IF(B84=0,0,C84/B84)</f>
        <v/>
      </c>
      <c r="E84">
        <f>IF($A84="","",SUMIFS(Orders_Log!$I:$I,Orders_Log!$C:$C,$A84))</f>
        <v/>
      </c>
      <c r="F84">
        <f>IF(B84=0,0,E84/B84)</f>
        <v/>
      </c>
      <c r="G84">
        <f>IF($A84="","",IFERROR(AVERAGEIFS(Orders_Log!$H:$H,Orders_Log!$C:$C,$A84,Orders_Log!$H:$H,"&gt;0"),0))</f>
        <v/>
      </c>
      <c r="H84">
        <f>IF($A84="","",COUNTIFS(Orders_Log!$C:$C,$A84,Orders_Log!$P:$P,"Returned to Picker"))</f>
        <v/>
      </c>
    </row>
    <row r="85">
      <c r="B85">
        <f>IF($A85="","",COUNTIFS(Orders_Log!$C:$C,$A85,Orders_Log!$B:$B,"&lt;&gt;"))</f>
        <v/>
      </c>
      <c r="C85">
        <f>IF($A85="","",COUNTIFS(Orders_Log!$C:$C,$A85,Orders_Log!$M:$M,"Yes"))</f>
        <v/>
      </c>
      <c r="D85" s="5">
        <f>IF(B85=0,0,C85/B85)</f>
        <v/>
      </c>
      <c r="E85">
        <f>IF($A85="","",SUMIFS(Orders_Log!$I:$I,Orders_Log!$C:$C,$A85))</f>
        <v/>
      </c>
      <c r="F85">
        <f>IF(B85=0,0,E85/B85)</f>
        <v/>
      </c>
      <c r="G85">
        <f>IF($A85="","",IFERROR(AVERAGEIFS(Orders_Log!$H:$H,Orders_Log!$C:$C,$A85,Orders_Log!$H:$H,"&gt;0"),0))</f>
        <v/>
      </c>
      <c r="H85">
        <f>IF($A85="","",COUNTIFS(Orders_Log!$C:$C,$A85,Orders_Log!$P:$P,"Returned to Picker"))</f>
        <v/>
      </c>
    </row>
    <row r="86">
      <c r="B86">
        <f>IF($A86="","",COUNTIFS(Orders_Log!$C:$C,$A86,Orders_Log!$B:$B,"&lt;&gt;"))</f>
        <v/>
      </c>
      <c r="C86">
        <f>IF($A86="","",COUNTIFS(Orders_Log!$C:$C,$A86,Orders_Log!$M:$M,"Yes"))</f>
        <v/>
      </c>
      <c r="D86" s="5">
        <f>IF(B86=0,0,C86/B86)</f>
        <v/>
      </c>
      <c r="E86">
        <f>IF($A86="","",SUMIFS(Orders_Log!$I:$I,Orders_Log!$C:$C,$A86))</f>
        <v/>
      </c>
      <c r="F86">
        <f>IF(B86=0,0,E86/B86)</f>
        <v/>
      </c>
      <c r="G86">
        <f>IF($A86="","",IFERROR(AVERAGEIFS(Orders_Log!$H:$H,Orders_Log!$C:$C,$A86,Orders_Log!$H:$H,"&gt;0"),0))</f>
        <v/>
      </c>
      <c r="H86">
        <f>IF($A86="","",COUNTIFS(Orders_Log!$C:$C,$A86,Orders_Log!$P:$P,"Returned to Picker"))</f>
        <v/>
      </c>
    </row>
    <row r="87">
      <c r="B87">
        <f>IF($A87="","",COUNTIFS(Orders_Log!$C:$C,$A87,Orders_Log!$B:$B,"&lt;&gt;"))</f>
        <v/>
      </c>
      <c r="C87">
        <f>IF($A87="","",COUNTIFS(Orders_Log!$C:$C,$A87,Orders_Log!$M:$M,"Yes"))</f>
        <v/>
      </c>
      <c r="D87" s="5">
        <f>IF(B87=0,0,C87/B87)</f>
        <v/>
      </c>
      <c r="E87">
        <f>IF($A87="","",SUMIFS(Orders_Log!$I:$I,Orders_Log!$C:$C,$A87))</f>
        <v/>
      </c>
      <c r="F87">
        <f>IF(B87=0,0,E87/B87)</f>
        <v/>
      </c>
      <c r="G87">
        <f>IF($A87="","",IFERROR(AVERAGEIFS(Orders_Log!$H:$H,Orders_Log!$C:$C,$A87,Orders_Log!$H:$H,"&gt;0"),0))</f>
        <v/>
      </c>
      <c r="H87">
        <f>IF($A87="","",COUNTIFS(Orders_Log!$C:$C,$A87,Orders_Log!$P:$P,"Returned to Picker"))</f>
        <v/>
      </c>
    </row>
    <row r="88">
      <c r="B88">
        <f>IF($A88="","",COUNTIFS(Orders_Log!$C:$C,$A88,Orders_Log!$B:$B,"&lt;&gt;"))</f>
        <v/>
      </c>
      <c r="C88">
        <f>IF($A88="","",COUNTIFS(Orders_Log!$C:$C,$A88,Orders_Log!$M:$M,"Yes"))</f>
        <v/>
      </c>
      <c r="D88" s="5">
        <f>IF(B88=0,0,C88/B88)</f>
        <v/>
      </c>
      <c r="E88">
        <f>IF($A88="","",SUMIFS(Orders_Log!$I:$I,Orders_Log!$C:$C,$A88))</f>
        <v/>
      </c>
      <c r="F88">
        <f>IF(B88=0,0,E88/B88)</f>
        <v/>
      </c>
      <c r="G88">
        <f>IF($A88="","",IFERROR(AVERAGEIFS(Orders_Log!$H:$H,Orders_Log!$C:$C,$A88,Orders_Log!$H:$H,"&gt;0"),0))</f>
        <v/>
      </c>
      <c r="H88">
        <f>IF($A88="","",COUNTIFS(Orders_Log!$C:$C,$A88,Orders_Log!$P:$P,"Returned to Picker"))</f>
        <v/>
      </c>
    </row>
    <row r="89">
      <c r="B89">
        <f>IF($A89="","",COUNTIFS(Orders_Log!$C:$C,$A89,Orders_Log!$B:$B,"&lt;&gt;"))</f>
        <v/>
      </c>
      <c r="C89">
        <f>IF($A89="","",COUNTIFS(Orders_Log!$C:$C,$A89,Orders_Log!$M:$M,"Yes"))</f>
        <v/>
      </c>
      <c r="D89" s="5">
        <f>IF(B89=0,0,C89/B89)</f>
        <v/>
      </c>
      <c r="E89">
        <f>IF($A89="","",SUMIFS(Orders_Log!$I:$I,Orders_Log!$C:$C,$A89))</f>
        <v/>
      </c>
      <c r="F89">
        <f>IF(B89=0,0,E89/B89)</f>
        <v/>
      </c>
      <c r="G89">
        <f>IF($A89="","",IFERROR(AVERAGEIFS(Orders_Log!$H:$H,Orders_Log!$C:$C,$A89,Orders_Log!$H:$H,"&gt;0"),0))</f>
        <v/>
      </c>
      <c r="H89">
        <f>IF($A89="","",COUNTIFS(Orders_Log!$C:$C,$A89,Orders_Log!$P:$P,"Returned to Picker"))</f>
        <v/>
      </c>
    </row>
    <row r="90">
      <c r="B90">
        <f>IF($A90="","",COUNTIFS(Orders_Log!$C:$C,$A90,Orders_Log!$B:$B,"&lt;&gt;"))</f>
        <v/>
      </c>
      <c r="C90">
        <f>IF($A90="","",COUNTIFS(Orders_Log!$C:$C,$A90,Orders_Log!$M:$M,"Yes"))</f>
        <v/>
      </c>
      <c r="D90" s="5">
        <f>IF(B90=0,0,C90/B90)</f>
        <v/>
      </c>
      <c r="E90">
        <f>IF($A90="","",SUMIFS(Orders_Log!$I:$I,Orders_Log!$C:$C,$A90))</f>
        <v/>
      </c>
      <c r="F90">
        <f>IF(B90=0,0,E90/B90)</f>
        <v/>
      </c>
      <c r="G90">
        <f>IF($A90="","",IFERROR(AVERAGEIFS(Orders_Log!$H:$H,Orders_Log!$C:$C,$A90,Orders_Log!$H:$H,"&gt;0"),0))</f>
        <v/>
      </c>
      <c r="H90">
        <f>IF($A90="","",COUNTIFS(Orders_Log!$C:$C,$A90,Orders_Log!$P:$P,"Returned to Picker"))</f>
        <v/>
      </c>
    </row>
    <row r="91">
      <c r="B91">
        <f>IF($A91="","",COUNTIFS(Orders_Log!$C:$C,$A91,Orders_Log!$B:$B,"&lt;&gt;"))</f>
        <v/>
      </c>
      <c r="C91">
        <f>IF($A91="","",COUNTIFS(Orders_Log!$C:$C,$A91,Orders_Log!$M:$M,"Yes"))</f>
        <v/>
      </c>
      <c r="D91" s="5">
        <f>IF(B91=0,0,C91/B91)</f>
        <v/>
      </c>
      <c r="E91">
        <f>IF($A91="","",SUMIFS(Orders_Log!$I:$I,Orders_Log!$C:$C,$A91))</f>
        <v/>
      </c>
      <c r="F91">
        <f>IF(B91=0,0,E91/B91)</f>
        <v/>
      </c>
      <c r="G91">
        <f>IF($A91="","",IFERROR(AVERAGEIFS(Orders_Log!$H:$H,Orders_Log!$C:$C,$A91,Orders_Log!$H:$H,"&gt;0"),0))</f>
        <v/>
      </c>
      <c r="H91">
        <f>IF($A91="","",COUNTIFS(Orders_Log!$C:$C,$A91,Orders_Log!$P:$P,"Returned to Picker"))</f>
        <v/>
      </c>
    </row>
    <row r="92">
      <c r="B92">
        <f>IF($A92="","",COUNTIFS(Orders_Log!$C:$C,$A92,Orders_Log!$B:$B,"&lt;&gt;"))</f>
        <v/>
      </c>
      <c r="C92">
        <f>IF($A92="","",COUNTIFS(Orders_Log!$C:$C,$A92,Orders_Log!$M:$M,"Yes"))</f>
        <v/>
      </c>
      <c r="D92" s="5">
        <f>IF(B92=0,0,C92/B92)</f>
        <v/>
      </c>
      <c r="E92">
        <f>IF($A92="","",SUMIFS(Orders_Log!$I:$I,Orders_Log!$C:$C,$A92))</f>
        <v/>
      </c>
      <c r="F92">
        <f>IF(B92=0,0,E92/B92)</f>
        <v/>
      </c>
      <c r="G92">
        <f>IF($A92="","",IFERROR(AVERAGEIFS(Orders_Log!$H:$H,Orders_Log!$C:$C,$A92,Orders_Log!$H:$H,"&gt;0"),0))</f>
        <v/>
      </c>
      <c r="H92">
        <f>IF($A92="","",COUNTIFS(Orders_Log!$C:$C,$A92,Orders_Log!$P:$P,"Returned to Picker"))</f>
        <v/>
      </c>
    </row>
    <row r="93">
      <c r="B93">
        <f>IF($A93="","",COUNTIFS(Orders_Log!$C:$C,$A93,Orders_Log!$B:$B,"&lt;&gt;"))</f>
        <v/>
      </c>
      <c r="C93">
        <f>IF($A93="","",COUNTIFS(Orders_Log!$C:$C,$A93,Orders_Log!$M:$M,"Yes"))</f>
        <v/>
      </c>
      <c r="D93" s="5">
        <f>IF(B93=0,0,C93/B93)</f>
        <v/>
      </c>
      <c r="E93">
        <f>IF($A93="","",SUMIFS(Orders_Log!$I:$I,Orders_Log!$C:$C,$A93))</f>
        <v/>
      </c>
      <c r="F93">
        <f>IF(B93=0,0,E93/B93)</f>
        <v/>
      </c>
      <c r="G93">
        <f>IF($A93="","",IFERROR(AVERAGEIFS(Orders_Log!$H:$H,Orders_Log!$C:$C,$A93,Orders_Log!$H:$H,"&gt;0"),0))</f>
        <v/>
      </c>
      <c r="H93">
        <f>IF($A93="","",COUNTIFS(Orders_Log!$C:$C,$A93,Orders_Log!$P:$P,"Returned to Picker"))</f>
        <v/>
      </c>
    </row>
    <row r="94">
      <c r="B94">
        <f>IF($A94="","",COUNTIFS(Orders_Log!$C:$C,$A94,Orders_Log!$B:$B,"&lt;&gt;"))</f>
        <v/>
      </c>
      <c r="C94">
        <f>IF($A94="","",COUNTIFS(Orders_Log!$C:$C,$A94,Orders_Log!$M:$M,"Yes"))</f>
        <v/>
      </c>
      <c r="D94" s="5">
        <f>IF(B94=0,0,C94/B94)</f>
        <v/>
      </c>
      <c r="E94">
        <f>IF($A94="","",SUMIFS(Orders_Log!$I:$I,Orders_Log!$C:$C,$A94))</f>
        <v/>
      </c>
      <c r="F94">
        <f>IF(B94=0,0,E94/B94)</f>
        <v/>
      </c>
      <c r="G94">
        <f>IF($A94="","",IFERROR(AVERAGEIFS(Orders_Log!$H:$H,Orders_Log!$C:$C,$A94,Orders_Log!$H:$H,"&gt;0"),0))</f>
        <v/>
      </c>
      <c r="H94">
        <f>IF($A94="","",COUNTIFS(Orders_Log!$C:$C,$A94,Orders_Log!$P:$P,"Returned to Picker"))</f>
        <v/>
      </c>
    </row>
    <row r="95">
      <c r="B95">
        <f>IF($A95="","",COUNTIFS(Orders_Log!$C:$C,$A95,Orders_Log!$B:$B,"&lt;&gt;"))</f>
        <v/>
      </c>
      <c r="C95">
        <f>IF($A95="","",COUNTIFS(Orders_Log!$C:$C,$A95,Orders_Log!$M:$M,"Yes"))</f>
        <v/>
      </c>
      <c r="D95" s="5">
        <f>IF(B95=0,0,C95/B95)</f>
        <v/>
      </c>
      <c r="E95">
        <f>IF($A95="","",SUMIFS(Orders_Log!$I:$I,Orders_Log!$C:$C,$A95))</f>
        <v/>
      </c>
      <c r="F95">
        <f>IF(B95=0,0,E95/B95)</f>
        <v/>
      </c>
      <c r="G95">
        <f>IF($A95="","",IFERROR(AVERAGEIFS(Orders_Log!$H:$H,Orders_Log!$C:$C,$A95,Orders_Log!$H:$H,"&gt;0"),0))</f>
        <v/>
      </c>
      <c r="H95">
        <f>IF($A95="","",COUNTIFS(Orders_Log!$C:$C,$A95,Orders_Log!$P:$P,"Returned to Picker"))</f>
        <v/>
      </c>
    </row>
    <row r="96">
      <c r="B96">
        <f>IF($A96="","",COUNTIFS(Orders_Log!$C:$C,$A96,Orders_Log!$B:$B,"&lt;&gt;"))</f>
        <v/>
      </c>
      <c r="C96">
        <f>IF($A96="","",COUNTIFS(Orders_Log!$C:$C,$A96,Orders_Log!$M:$M,"Yes"))</f>
        <v/>
      </c>
      <c r="D96" s="5">
        <f>IF(B96=0,0,C96/B96)</f>
        <v/>
      </c>
      <c r="E96">
        <f>IF($A96="","",SUMIFS(Orders_Log!$I:$I,Orders_Log!$C:$C,$A96))</f>
        <v/>
      </c>
      <c r="F96">
        <f>IF(B96=0,0,E96/B96)</f>
        <v/>
      </c>
      <c r="G96">
        <f>IF($A96="","",IFERROR(AVERAGEIFS(Orders_Log!$H:$H,Orders_Log!$C:$C,$A96,Orders_Log!$H:$H,"&gt;0"),0))</f>
        <v/>
      </c>
      <c r="H96">
        <f>IF($A96="","",COUNTIFS(Orders_Log!$C:$C,$A96,Orders_Log!$P:$P,"Returned to Picker"))</f>
        <v/>
      </c>
    </row>
    <row r="97">
      <c r="B97">
        <f>IF($A97="","",COUNTIFS(Orders_Log!$C:$C,$A97,Orders_Log!$B:$B,"&lt;&gt;"))</f>
        <v/>
      </c>
      <c r="C97">
        <f>IF($A97="","",COUNTIFS(Orders_Log!$C:$C,$A97,Orders_Log!$M:$M,"Yes"))</f>
        <v/>
      </c>
      <c r="D97" s="5">
        <f>IF(B97=0,0,C97/B97)</f>
        <v/>
      </c>
      <c r="E97">
        <f>IF($A97="","",SUMIFS(Orders_Log!$I:$I,Orders_Log!$C:$C,$A97))</f>
        <v/>
      </c>
      <c r="F97">
        <f>IF(B97=0,0,E97/B97)</f>
        <v/>
      </c>
      <c r="G97">
        <f>IF($A97="","",IFERROR(AVERAGEIFS(Orders_Log!$H:$H,Orders_Log!$C:$C,$A97,Orders_Log!$H:$H,"&gt;0"),0))</f>
        <v/>
      </c>
      <c r="H97">
        <f>IF($A97="","",COUNTIFS(Orders_Log!$C:$C,$A97,Orders_Log!$P:$P,"Returned to Picker"))</f>
        <v/>
      </c>
    </row>
    <row r="98">
      <c r="B98">
        <f>IF($A98="","",COUNTIFS(Orders_Log!$C:$C,$A98,Orders_Log!$B:$B,"&lt;&gt;"))</f>
        <v/>
      </c>
      <c r="C98">
        <f>IF($A98="","",COUNTIFS(Orders_Log!$C:$C,$A98,Orders_Log!$M:$M,"Yes"))</f>
        <v/>
      </c>
      <c r="D98" s="5">
        <f>IF(B98=0,0,C98/B98)</f>
        <v/>
      </c>
      <c r="E98">
        <f>IF($A98="","",SUMIFS(Orders_Log!$I:$I,Orders_Log!$C:$C,$A98))</f>
        <v/>
      </c>
      <c r="F98">
        <f>IF(B98=0,0,E98/B98)</f>
        <v/>
      </c>
      <c r="G98">
        <f>IF($A98="","",IFERROR(AVERAGEIFS(Orders_Log!$H:$H,Orders_Log!$C:$C,$A98,Orders_Log!$H:$H,"&gt;0"),0))</f>
        <v/>
      </c>
      <c r="H98">
        <f>IF($A98="","",COUNTIFS(Orders_Log!$C:$C,$A98,Orders_Log!$P:$P,"Returned to Picker"))</f>
        <v/>
      </c>
    </row>
    <row r="99">
      <c r="B99">
        <f>IF($A99="","",COUNTIFS(Orders_Log!$C:$C,$A99,Orders_Log!$B:$B,"&lt;&gt;"))</f>
        <v/>
      </c>
      <c r="C99">
        <f>IF($A99="","",COUNTIFS(Orders_Log!$C:$C,$A99,Orders_Log!$M:$M,"Yes"))</f>
        <v/>
      </c>
      <c r="D99" s="5">
        <f>IF(B99=0,0,C99/B99)</f>
        <v/>
      </c>
      <c r="E99">
        <f>IF($A99="","",SUMIFS(Orders_Log!$I:$I,Orders_Log!$C:$C,$A99))</f>
        <v/>
      </c>
      <c r="F99">
        <f>IF(B99=0,0,E99/B99)</f>
        <v/>
      </c>
      <c r="G99">
        <f>IF($A99="","",IFERROR(AVERAGEIFS(Orders_Log!$H:$H,Orders_Log!$C:$C,$A99,Orders_Log!$H:$H,"&gt;0"),0))</f>
        <v/>
      </c>
      <c r="H99">
        <f>IF($A99="","",COUNTIFS(Orders_Log!$C:$C,$A99,Orders_Log!$P:$P,"Returned to Picker"))</f>
        <v/>
      </c>
    </row>
    <row r="100">
      <c r="B100">
        <f>IF($A100="","",COUNTIFS(Orders_Log!$C:$C,$A100,Orders_Log!$B:$B,"&lt;&gt;"))</f>
        <v/>
      </c>
      <c r="C100">
        <f>IF($A100="","",COUNTIFS(Orders_Log!$C:$C,$A100,Orders_Log!$M:$M,"Yes"))</f>
        <v/>
      </c>
      <c r="D100" s="5">
        <f>IF(B100=0,0,C100/B100)</f>
        <v/>
      </c>
      <c r="E100">
        <f>IF($A100="","",SUMIFS(Orders_Log!$I:$I,Orders_Log!$C:$C,$A100))</f>
        <v/>
      </c>
      <c r="F100">
        <f>IF(B100=0,0,E100/B100)</f>
        <v/>
      </c>
      <c r="G100">
        <f>IF($A100="","",IFERROR(AVERAGEIFS(Orders_Log!$H:$H,Orders_Log!$C:$C,$A100,Orders_Log!$H:$H,"&gt;0"),0))</f>
        <v/>
      </c>
      <c r="H100">
        <f>IF($A100="","",COUNTIFS(Orders_Log!$C:$C,$A100,Orders_Log!$P:$P,"Returned to Picker"))</f>
        <v/>
      </c>
    </row>
    <row r="101">
      <c r="B101">
        <f>IF($A101="","",COUNTIFS(Orders_Log!$C:$C,$A101,Orders_Log!$B:$B,"&lt;&gt;"))</f>
        <v/>
      </c>
      <c r="C101">
        <f>IF($A101="","",COUNTIFS(Orders_Log!$C:$C,$A101,Orders_Log!$M:$M,"Yes"))</f>
        <v/>
      </c>
      <c r="D101" s="5">
        <f>IF(B101=0,0,C101/B101)</f>
        <v/>
      </c>
      <c r="E101">
        <f>IF($A101="","",SUMIFS(Orders_Log!$I:$I,Orders_Log!$C:$C,$A101))</f>
        <v/>
      </c>
      <c r="F101">
        <f>IF(B101=0,0,E101/B101)</f>
        <v/>
      </c>
      <c r="G101">
        <f>IF($A101="","",IFERROR(AVERAGEIFS(Orders_Log!$H:$H,Orders_Log!$C:$C,$A101,Orders_Log!$H:$H,"&gt;0"),0))</f>
        <v/>
      </c>
      <c r="H101">
        <f>IF($A101="","",COUNTIFS(Orders_Log!$C:$C,$A101,Orders_Log!$P:$P,"Returned to Picker"))</f>
        <v/>
      </c>
    </row>
    <row r="102">
      <c r="B102">
        <f>IF($A102="","",COUNTIFS(Orders_Log!$C:$C,$A102,Orders_Log!$B:$B,"&lt;&gt;"))</f>
        <v/>
      </c>
      <c r="C102">
        <f>IF($A102="","",COUNTIFS(Orders_Log!$C:$C,$A102,Orders_Log!$M:$M,"Yes"))</f>
        <v/>
      </c>
      <c r="D102" s="5">
        <f>IF(B102=0,0,C102/B102)</f>
        <v/>
      </c>
      <c r="E102">
        <f>IF($A102="","",SUMIFS(Orders_Log!$I:$I,Orders_Log!$C:$C,$A102))</f>
        <v/>
      </c>
      <c r="F102">
        <f>IF(B102=0,0,E102/B102)</f>
        <v/>
      </c>
      <c r="G102">
        <f>IF($A102="","",IFERROR(AVERAGEIFS(Orders_Log!$H:$H,Orders_Log!$C:$C,$A102,Orders_Log!$H:$H,"&gt;0"),0))</f>
        <v/>
      </c>
      <c r="H102">
        <f>IF($A102="","",COUNTIFS(Orders_Log!$C:$C,$A102,Orders_Log!$P:$P,"Returned to Picker"))</f>
        <v/>
      </c>
    </row>
    <row r="103">
      <c r="B103">
        <f>IF($A103="","",COUNTIFS(Orders_Log!$C:$C,$A103,Orders_Log!$B:$B,"&lt;&gt;"))</f>
        <v/>
      </c>
      <c r="C103">
        <f>IF($A103="","",COUNTIFS(Orders_Log!$C:$C,$A103,Orders_Log!$M:$M,"Yes"))</f>
        <v/>
      </c>
      <c r="D103" s="5">
        <f>IF(B103=0,0,C103/B103)</f>
        <v/>
      </c>
      <c r="E103">
        <f>IF($A103="","",SUMIFS(Orders_Log!$I:$I,Orders_Log!$C:$C,$A103))</f>
        <v/>
      </c>
      <c r="F103">
        <f>IF(B103=0,0,E103/B103)</f>
        <v/>
      </c>
      <c r="G103">
        <f>IF($A103="","",IFERROR(AVERAGEIFS(Orders_Log!$H:$H,Orders_Log!$C:$C,$A103,Orders_Log!$H:$H,"&gt;0"),0))</f>
        <v/>
      </c>
      <c r="H103">
        <f>IF($A103="","",COUNTIFS(Orders_Log!$C:$C,$A103,Orders_Log!$P:$P,"Returned to Picker"))</f>
        <v/>
      </c>
    </row>
    <row r="104">
      <c r="B104">
        <f>IF($A104="","",COUNTIFS(Orders_Log!$C:$C,$A104,Orders_Log!$B:$B,"&lt;&gt;"))</f>
        <v/>
      </c>
      <c r="C104">
        <f>IF($A104="","",COUNTIFS(Orders_Log!$C:$C,$A104,Orders_Log!$M:$M,"Yes"))</f>
        <v/>
      </c>
      <c r="D104" s="5">
        <f>IF(B104=0,0,C104/B104)</f>
        <v/>
      </c>
      <c r="E104">
        <f>IF($A104="","",SUMIFS(Orders_Log!$I:$I,Orders_Log!$C:$C,$A104))</f>
        <v/>
      </c>
      <c r="F104">
        <f>IF(B104=0,0,E104/B104)</f>
        <v/>
      </c>
      <c r="G104">
        <f>IF($A104="","",IFERROR(AVERAGEIFS(Orders_Log!$H:$H,Orders_Log!$C:$C,$A104,Orders_Log!$H:$H,"&gt;0"),0))</f>
        <v/>
      </c>
      <c r="H104">
        <f>IF($A104="","",COUNTIFS(Orders_Log!$C:$C,$A104,Orders_Log!$P:$P,"Returned to Picker"))</f>
        <v/>
      </c>
    </row>
    <row r="105">
      <c r="B105">
        <f>IF($A105="","",COUNTIFS(Orders_Log!$C:$C,$A105,Orders_Log!$B:$B,"&lt;&gt;"))</f>
        <v/>
      </c>
      <c r="C105">
        <f>IF($A105="","",COUNTIFS(Orders_Log!$C:$C,$A105,Orders_Log!$M:$M,"Yes"))</f>
        <v/>
      </c>
      <c r="D105" s="5">
        <f>IF(B105=0,0,C105/B105)</f>
        <v/>
      </c>
      <c r="E105">
        <f>IF($A105="","",SUMIFS(Orders_Log!$I:$I,Orders_Log!$C:$C,$A105))</f>
        <v/>
      </c>
      <c r="F105">
        <f>IF(B105=0,0,E105/B105)</f>
        <v/>
      </c>
      <c r="G105">
        <f>IF($A105="","",IFERROR(AVERAGEIFS(Orders_Log!$H:$H,Orders_Log!$C:$C,$A105,Orders_Log!$H:$H,"&gt;0"),0))</f>
        <v/>
      </c>
      <c r="H105">
        <f>IF($A105="","",COUNTIFS(Orders_Log!$C:$C,$A105,Orders_Log!$P:$P,"Returned to Picker"))</f>
        <v/>
      </c>
    </row>
    <row r="106">
      <c r="B106">
        <f>IF($A106="","",COUNTIFS(Orders_Log!$C:$C,$A106,Orders_Log!$B:$B,"&lt;&gt;"))</f>
        <v/>
      </c>
      <c r="C106">
        <f>IF($A106="","",COUNTIFS(Orders_Log!$C:$C,$A106,Orders_Log!$M:$M,"Yes"))</f>
        <v/>
      </c>
      <c r="D106" s="5">
        <f>IF(B106=0,0,C106/B106)</f>
        <v/>
      </c>
      <c r="E106">
        <f>IF($A106="","",SUMIFS(Orders_Log!$I:$I,Orders_Log!$C:$C,$A106))</f>
        <v/>
      </c>
      <c r="F106">
        <f>IF(B106=0,0,E106/B106)</f>
        <v/>
      </c>
      <c r="G106">
        <f>IF($A106="","",IFERROR(AVERAGEIFS(Orders_Log!$H:$H,Orders_Log!$C:$C,$A106,Orders_Log!$H:$H,"&gt;0"),0))</f>
        <v/>
      </c>
      <c r="H106">
        <f>IF($A106="","",COUNTIFS(Orders_Log!$C:$C,$A106,Orders_Log!$P:$P,"Returned to Picker"))</f>
        <v/>
      </c>
    </row>
    <row r="107">
      <c r="B107">
        <f>IF($A107="","",COUNTIFS(Orders_Log!$C:$C,$A107,Orders_Log!$B:$B,"&lt;&gt;"))</f>
        <v/>
      </c>
      <c r="C107">
        <f>IF($A107="","",COUNTIFS(Orders_Log!$C:$C,$A107,Orders_Log!$M:$M,"Yes"))</f>
        <v/>
      </c>
      <c r="D107" s="5">
        <f>IF(B107=0,0,C107/B107)</f>
        <v/>
      </c>
      <c r="E107">
        <f>IF($A107="","",SUMIFS(Orders_Log!$I:$I,Orders_Log!$C:$C,$A107))</f>
        <v/>
      </c>
      <c r="F107">
        <f>IF(B107=0,0,E107/B107)</f>
        <v/>
      </c>
      <c r="G107">
        <f>IF($A107="","",IFERROR(AVERAGEIFS(Orders_Log!$H:$H,Orders_Log!$C:$C,$A107,Orders_Log!$H:$H,"&gt;0"),0))</f>
        <v/>
      </c>
      <c r="H107">
        <f>IF($A107="","",COUNTIFS(Orders_Log!$C:$C,$A107,Orders_Log!$P:$P,"Returned to Picker"))</f>
        <v/>
      </c>
    </row>
    <row r="108">
      <c r="B108">
        <f>IF($A108="","",COUNTIFS(Orders_Log!$C:$C,$A108,Orders_Log!$B:$B,"&lt;&gt;"))</f>
        <v/>
      </c>
      <c r="C108">
        <f>IF($A108="","",COUNTIFS(Orders_Log!$C:$C,$A108,Orders_Log!$M:$M,"Yes"))</f>
        <v/>
      </c>
      <c r="D108" s="5">
        <f>IF(B108=0,0,C108/B108)</f>
        <v/>
      </c>
      <c r="E108">
        <f>IF($A108="","",SUMIFS(Orders_Log!$I:$I,Orders_Log!$C:$C,$A108))</f>
        <v/>
      </c>
      <c r="F108">
        <f>IF(B108=0,0,E108/B108)</f>
        <v/>
      </c>
      <c r="G108">
        <f>IF($A108="","",IFERROR(AVERAGEIFS(Orders_Log!$H:$H,Orders_Log!$C:$C,$A108,Orders_Log!$H:$H,"&gt;0"),0))</f>
        <v/>
      </c>
      <c r="H108">
        <f>IF($A108="","",COUNTIFS(Orders_Log!$C:$C,$A108,Orders_Log!$P:$P,"Returned to Picker"))</f>
        <v/>
      </c>
    </row>
    <row r="109">
      <c r="B109">
        <f>IF($A109="","",COUNTIFS(Orders_Log!$C:$C,$A109,Orders_Log!$B:$B,"&lt;&gt;"))</f>
        <v/>
      </c>
      <c r="C109">
        <f>IF($A109="","",COUNTIFS(Orders_Log!$C:$C,$A109,Orders_Log!$M:$M,"Yes"))</f>
        <v/>
      </c>
      <c r="D109" s="5">
        <f>IF(B109=0,0,C109/B109)</f>
        <v/>
      </c>
      <c r="E109">
        <f>IF($A109="","",SUMIFS(Orders_Log!$I:$I,Orders_Log!$C:$C,$A109))</f>
        <v/>
      </c>
      <c r="F109">
        <f>IF(B109=0,0,E109/B109)</f>
        <v/>
      </c>
      <c r="G109">
        <f>IF($A109="","",IFERROR(AVERAGEIFS(Orders_Log!$H:$H,Orders_Log!$C:$C,$A109,Orders_Log!$H:$H,"&gt;0"),0))</f>
        <v/>
      </c>
      <c r="H109">
        <f>IF($A109="","",COUNTIFS(Orders_Log!$C:$C,$A109,Orders_Log!$P:$P,"Returned to Picker"))</f>
        <v/>
      </c>
    </row>
    <row r="110">
      <c r="B110">
        <f>IF($A110="","",COUNTIFS(Orders_Log!$C:$C,$A110,Orders_Log!$B:$B,"&lt;&gt;"))</f>
        <v/>
      </c>
      <c r="C110">
        <f>IF($A110="","",COUNTIFS(Orders_Log!$C:$C,$A110,Orders_Log!$M:$M,"Yes"))</f>
        <v/>
      </c>
      <c r="D110" s="5">
        <f>IF(B110=0,0,C110/B110)</f>
        <v/>
      </c>
      <c r="E110">
        <f>IF($A110="","",SUMIFS(Orders_Log!$I:$I,Orders_Log!$C:$C,$A110))</f>
        <v/>
      </c>
      <c r="F110">
        <f>IF(B110=0,0,E110/B110)</f>
        <v/>
      </c>
      <c r="G110">
        <f>IF($A110="","",IFERROR(AVERAGEIFS(Orders_Log!$H:$H,Orders_Log!$C:$C,$A110,Orders_Log!$H:$H,"&gt;0"),0))</f>
        <v/>
      </c>
      <c r="H110">
        <f>IF($A110="","",COUNTIFS(Orders_Log!$C:$C,$A110,Orders_Log!$P:$P,"Returned to Picker"))</f>
        <v/>
      </c>
    </row>
    <row r="111">
      <c r="B111">
        <f>IF($A111="","",COUNTIFS(Orders_Log!$C:$C,$A111,Orders_Log!$B:$B,"&lt;&gt;"))</f>
        <v/>
      </c>
      <c r="C111">
        <f>IF($A111="","",COUNTIFS(Orders_Log!$C:$C,$A111,Orders_Log!$M:$M,"Yes"))</f>
        <v/>
      </c>
      <c r="D111" s="5">
        <f>IF(B111=0,0,C111/B111)</f>
        <v/>
      </c>
      <c r="E111">
        <f>IF($A111="","",SUMIFS(Orders_Log!$I:$I,Orders_Log!$C:$C,$A111))</f>
        <v/>
      </c>
      <c r="F111">
        <f>IF(B111=0,0,E111/B111)</f>
        <v/>
      </c>
      <c r="G111">
        <f>IF($A111="","",IFERROR(AVERAGEIFS(Orders_Log!$H:$H,Orders_Log!$C:$C,$A111,Orders_Log!$H:$H,"&gt;0"),0))</f>
        <v/>
      </c>
      <c r="H111">
        <f>IF($A111="","",COUNTIFS(Orders_Log!$C:$C,$A111,Orders_Log!$P:$P,"Returned to Picker"))</f>
        <v/>
      </c>
    </row>
    <row r="112">
      <c r="B112">
        <f>IF($A112="","",COUNTIFS(Orders_Log!$C:$C,$A112,Orders_Log!$B:$B,"&lt;&gt;"))</f>
        <v/>
      </c>
      <c r="C112">
        <f>IF($A112="","",COUNTIFS(Orders_Log!$C:$C,$A112,Orders_Log!$M:$M,"Yes"))</f>
        <v/>
      </c>
      <c r="D112" s="5">
        <f>IF(B112=0,0,C112/B112)</f>
        <v/>
      </c>
      <c r="E112">
        <f>IF($A112="","",SUMIFS(Orders_Log!$I:$I,Orders_Log!$C:$C,$A112))</f>
        <v/>
      </c>
      <c r="F112">
        <f>IF(B112=0,0,E112/B112)</f>
        <v/>
      </c>
      <c r="G112">
        <f>IF($A112="","",IFERROR(AVERAGEIFS(Orders_Log!$H:$H,Orders_Log!$C:$C,$A112,Orders_Log!$H:$H,"&gt;0"),0))</f>
        <v/>
      </c>
      <c r="H112">
        <f>IF($A112="","",COUNTIFS(Orders_Log!$C:$C,$A112,Orders_Log!$P:$P,"Returned to Picker"))</f>
        <v/>
      </c>
    </row>
    <row r="113">
      <c r="B113">
        <f>IF($A113="","",COUNTIFS(Orders_Log!$C:$C,$A113,Orders_Log!$B:$B,"&lt;&gt;"))</f>
        <v/>
      </c>
      <c r="C113">
        <f>IF($A113="","",COUNTIFS(Orders_Log!$C:$C,$A113,Orders_Log!$M:$M,"Yes"))</f>
        <v/>
      </c>
      <c r="D113" s="5">
        <f>IF(B113=0,0,C113/B113)</f>
        <v/>
      </c>
      <c r="E113">
        <f>IF($A113="","",SUMIFS(Orders_Log!$I:$I,Orders_Log!$C:$C,$A113))</f>
        <v/>
      </c>
      <c r="F113">
        <f>IF(B113=0,0,E113/B113)</f>
        <v/>
      </c>
      <c r="G113">
        <f>IF($A113="","",IFERROR(AVERAGEIFS(Orders_Log!$H:$H,Orders_Log!$C:$C,$A113,Orders_Log!$H:$H,"&gt;0"),0))</f>
        <v/>
      </c>
      <c r="H113">
        <f>IF($A113="","",COUNTIFS(Orders_Log!$C:$C,$A113,Orders_Log!$P:$P,"Returned to Picker"))</f>
        <v/>
      </c>
    </row>
    <row r="114">
      <c r="B114">
        <f>IF($A114="","",COUNTIFS(Orders_Log!$C:$C,$A114,Orders_Log!$B:$B,"&lt;&gt;"))</f>
        <v/>
      </c>
      <c r="C114">
        <f>IF($A114="","",COUNTIFS(Orders_Log!$C:$C,$A114,Orders_Log!$M:$M,"Yes"))</f>
        <v/>
      </c>
      <c r="D114" s="5">
        <f>IF(B114=0,0,C114/B114)</f>
        <v/>
      </c>
      <c r="E114">
        <f>IF($A114="","",SUMIFS(Orders_Log!$I:$I,Orders_Log!$C:$C,$A114))</f>
        <v/>
      </c>
      <c r="F114">
        <f>IF(B114=0,0,E114/B114)</f>
        <v/>
      </c>
      <c r="G114">
        <f>IF($A114="","",IFERROR(AVERAGEIFS(Orders_Log!$H:$H,Orders_Log!$C:$C,$A114,Orders_Log!$H:$H,"&gt;0"),0))</f>
        <v/>
      </c>
      <c r="H114">
        <f>IF($A114="","",COUNTIFS(Orders_Log!$C:$C,$A114,Orders_Log!$P:$P,"Returned to Picker"))</f>
        <v/>
      </c>
    </row>
    <row r="115">
      <c r="B115">
        <f>IF($A115="","",COUNTIFS(Orders_Log!$C:$C,$A115,Orders_Log!$B:$B,"&lt;&gt;"))</f>
        <v/>
      </c>
      <c r="C115">
        <f>IF($A115="","",COUNTIFS(Orders_Log!$C:$C,$A115,Orders_Log!$M:$M,"Yes"))</f>
        <v/>
      </c>
      <c r="D115" s="5">
        <f>IF(B115=0,0,C115/B115)</f>
        <v/>
      </c>
      <c r="E115">
        <f>IF($A115="","",SUMIFS(Orders_Log!$I:$I,Orders_Log!$C:$C,$A115))</f>
        <v/>
      </c>
      <c r="F115">
        <f>IF(B115=0,0,E115/B115)</f>
        <v/>
      </c>
      <c r="G115">
        <f>IF($A115="","",IFERROR(AVERAGEIFS(Orders_Log!$H:$H,Orders_Log!$C:$C,$A115,Orders_Log!$H:$H,"&gt;0"),0))</f>
        <v/>
      </c>
      <c r="H115">
        <f>IF($A115="","",COUNTIFS(Orders_Log!$C:$C,$A115,Orders_Log!$P:$P,"Returned to Picker"))</f>
        <v/>
      </c>
    </row>
    <row r="116">
      <c r="B116">
        <f>IF($A116="","",COUNTIFS(Orders_Log!$C:$C,$A116,Orders_Log!$B:$B,"&lt;&gt;"))</f>
        <v/>
      </c>
      <c r="C116">
        <f>IF($A116="","",COUNTIFS(Orders_Log!$C:$C,$A116,Orders_Log!$M:$M,"Yes"))</f>
        <v/>
      </c>
      <c r="D116" s="5">
        <f>IF(B116=0,0,C116/B116)</f>
        <v/>
      </c>
      <c r="E116">
        <f>IF($A116="","",SUMIFS(Orders_Log!$I:$I,Orders_Log!$C:$C,$A116))</f>
        <v/>
      </c>
      <c r="F116">
        <f>IF(B116=0,0,E116/B116)</f>
        <v/>
      </c>
      <c r="G116">
        <f>IF($A116="","",IFERROR(AVERAGEIFS(Orders_Log!$H:$H,Orders_Log!$C:$C,$A116,Orders_Log!$H:$H,"&gt;0"),0))</f>
        <v/>
      </c>
      <c r="H116">
        <f>IF($A116="","",COUNTIFS(Orders_Log!$C:$C,$A116,Orders_Log!$P:$P,"Returned to Picker"))</f>
        <v/>
      </c>
    </row>
    <row r="117">
      <c r="B117">
        <f>IF($A117="","",COUNTIFS(Orders_Log!$C:$C,$A117,Orders_Log!$B:$B,"&lt;&gt;"))</f>
        <v/>
      </c>
      <c r="C117">
        <f>IF($A117="","",COUNTIFS(Orders_Log!$C:$C,$A117,Orders_Log!$M:$M,"Yes"))</f>
        <v/>
      </c>
      <c r="D117" s="5">
        <f>IF(B117=0,0,C117/B117)</f>
        <v/>
      </c>
      <c r="E117">
        <f>IF($A117="","",SUMIFS(Orders_Log!$I:$I,Orders_Log!$C:$C,$A117))</f>
        <v/>
      </c>
      <c r="F117">
        <f>IF(B117=0,0,E117/B117)</f>
        <v/>
      </c>
      <c r="G117">
        <f>IF($A117="","",IFERROR(AVERAGEIFS(Orders_Log!$H:$H,Orders_Log!$C:$C,$A117,Orders_Log!$H:$H,"&gt;0"),0))</f>
        <v/>
      </c>
      <c r="H117">
        <f>IF($A117="","",COUNTIFS(Orders_Log!$C:$C,$A117,Orders_Log!$P:$P,"Returned to Picker"))</f>
        <v/>
      </c>
    </row>
    <row r="118">
      <c r="B118">
        <f>IF($A118="","",COUNTIFS(Orders_Log!$C:$C,$A118,Orders_Log!$B:$B,"&lt;&gt;"))</f>
        <v/>
      </c>
      <c r="C118">
        <f>IF($A118="","",COUNTIFS(Orders_Log!$C:$C,$A118,Orders_Log!$M:$M,"Yes"))</f>
        <v/>
      </c>
      <c r="D118" s="5">
        <f>IF(B118=0,0,C118/B118)</f>
        <v/>
      </c>
      <c r="E118">
        <f>IF($A118="","",SUMIFS(Orders_Log!$I:$I,Orders_Log!$C:$C,$A118))</f>
        <v/>
      </c>
      <c r="F118">
        <f>IF(B118=0,0,E118/B118)</f>
        <v/>
      </c>
      <c r="G118">
        <f>IF($A118="","",IFERROR(AVERAGEIFS(Orders_Log!$H:$H,Orders_Log!$C:$C,$A118,Orders_Log!$H:$H,"&gt;0"),0))</f>
        <v/>
      </c>
      <c r="H118">
        <f>IF($A118="","",COUNTIFS(Orders_Log!$C:$C,$A118,Orders_Log!$P:$P,"Returned to Picker"))</f>
        <v/>
      </c>
    </row>
    <row r="119">
      <c r="B119">
        <f>IF($A119="","",COUNTIFS(Orders_Log!$C:$C,$A119,Orders_Log!$B:$B,"&lt;&gt;"))</f>
        <v/>
      </c>
      <c r="C119">
        <f>IF($A119="","",COUNTIFS(Orders_Log!$C:$C,$A119,Orders_Log!$M:$M,"Yes"))</f>
        <v/>
      </c>
      <c r="D119" s="5">
        <f>IF(B119=0,0,C119/B119)</f>
        <v/>
      </c>
      <c r="E119">
        <f>IF($A119="","",SUMIFS(Orders_Log!$I:$I,Orders_Log!$C:$C,$A119))</f>
        <v/>
      </c>
      <c r="F119">
        <f>IF(B119=0,0,E119/B119)</f>
        <v/>
      </c>
      <c r="G119">
        <f>IF($A119="","",IFERROR(AVERAGEIFS(Orders_Log!$H:$H,Orders_Log!$C:$C,$A119,Orders_Log!$H:$H,"&gt;0"),0))</f>
        <v/>
      </c>
      <c r="H119">
        <f>IF($A119="","",COUNTIFS(Orders_Log!$C:$C,$A119,Orders_Log!$P:$P,"Returned to Picker"))</f>
        <v/>
      </c>
    </row>
    <row r="120">
      <c r="B120">
        <f>IF($A120="","",COUNTIFS(Orders_Log!$C:$C,$A120,Orders_Log!$B:$B,"&lt;&gt;"))</f>
        <v/>
      </c>
      <c r="C120">
        <f>IF($A120="","",COUNTIFS(Orders_Log!$C:$C,$A120,Orders_Log!$M:$M,"Yes"))</f>
        <v/>
      </c>
      <c r="D120" s="5">
        <f>IF(B120=0,0,C120/B120)</f>
        <v/>
      </c>
      <c r="E120">
        <f>IF($A120="","",SUMIFS(Orders_Log!$I:$I,Orders_Log!$C:$C,$A120))</f>
        <v/>
      </c>
      <c r="F120">
        <f>IF(B120=0,0,E120/B120)</f>
        <v/>
      </c>
      <c r="G120">
        <f>IF($A120="","",IFERROR(AVERAGEIFS(Orders_Log!$H:$H,Orders_Log!$C:$C,$A120,Orders_Log!$H:$H,"&gt;0"),0))</f>
        <v/>
      </c>
      <c r="H120">
        <f>IF($A120="","",COUNTIFS(Orders_Log!$C:$C,$A120,Orders_Log!$P:$P,"Returned to Picker"))</f>
        <v/>
      </c>
    </row>
    <row r="121">
      <c r="B121">
        <f>IF($A121="","",COUNTIFS(Orders_Log!$C:$C,$A121,Orders_Log!$B:$B,"&lt;&gt;"))</f>
        <v/>
      </c>
      <c r="C121">
        <f>IF($A121="","",COUNTIFS(Orders_Log!$C:$C,$A121,Orders_Log!$M:$M,"Yes"))</f>
        <v/>
      </c>
      <c r="D121" s="5">
        <f>IF(B121=0,0,C121/B121)</f>
        <v/>
      </c>
      <c r="E121">
        <f>IF($A121="","",SUMIFS(Orders_Log!$I:$I,Orders_Log!$C:$C,$A121))</f>
        <v/>
      </c>
      <c r="F121">
        <f>IF(B121=0,0,E121/B121)</f>
        <v/>
      </c>
      <c r="G121">
        <f>IF($A121="","",IFERROR(AVERAGEIFS(Orders_Log!$H:$H,Orders_Log!$C:$C,$A121,Orders_Log!$H:$H,"&gt;0"),0))</f>
        <v/>
      </c>
      <c r="H121">
        <f>IF($A121="","",COUNTIFS(Orders_Log!$C:$C,$A121,Orders_Log!$P:$P,"Returned to Picker"))</f>
        <v/>
      </c>
    </row>
    <row r="122">
      <c r="B122">
        <f>IF($A122="","",COUNTIFS(Orders_Log!$C:$C,$A122,Orders_Log!$B:$B,"&lt;&gt;"))</f>
        <v/>
      </c>
      <c r="C122">
        <f>IF($A122="","",COUNTIFS(Orders_Log!$C:$C,$A122,Orders_Log!$M:$M,"Yes"))</f>
        <v/>
      </c>
      <c r="D122" s="5">
        <f>IF(B122=0,0,C122/B122)</f>
        <v/>
      </c>
      <c r="E122">
        <f>IF($A122="","",SUMIFS(Orders_Log!$I:$I,Orders_Log!$C:$C,$A122))</f>
        <v/>
      </c>
      <c r="F122">
        <f>IF(B122=0,0,E122/B122)</f>
        <v/>
      </c>
      <c r="G122">
        <f>IF($A122="","",IFERROR(AVERAGEIFS(Orders_Log!$H:$H,Orders_Log!$C:$C,$A122,Orders_Log!$H:$H,"&gt;0"),0))</f>
        <v/>
      </c>
      <c r="H122">
        <f>IF($A122="","",COUNTIFS(Orders_Log!$C:$C,$A122,Orders_Log!$P:$P,"Returned to Picker"))</f>
        <v/>
      </c>
    </row>
    <row r="123">
      <c r="B123">
        <f>IF($A123="","",COUNTIFS(Orders_Log!$C:$C,$A123,Orders_Log!$B:$B,"&lt;&gt;"))</f>
        <v/>
      </c>
      <c r="C123">
        <f>IF($A123="","",COUNTIFS(Orders_Log!$C:$C,$A123,Orders_Log!$M:$M,"Yes"))</f>
        <v/>
      </c>
      <c r="D123" s="5">
        <f>IF(B123=0,0,C123/B123)</f>
        <v/>
      </c>
      <c r="E123">
        <f>IF($A123="","",SUMIFS(Orders_Log!$I:$I,Orders_Log!$C:$C,$A123))</f>
        <v/>
      </c>
      <c r="F123">
        <f>IF(B123=0,0,E123/B123)</f>
        <v/>
      </c>
      <c r="G123">
        <f>IF($A123="","",IFERROR(AVERAGEIFS(Orders_Log!$H:$H,Orders_Log!$C:$C,$A123,Orders_Log!$H:$H,"&gt;0"),0))</f>
        <v/>
      </c>
      <c r="H123">
        <f>IF($A123="","",COUNTIFS(Orders_Log!$C:$C,$A123,Orders_Log!$P:$P,"Returned to Picker"))</f>
        <v/>
      </c>
    </row>
    <row r="124">
      <c r="B124">
        <f>IF($A124="","",COUNTIFS(Orders_Log!$C:$C,$A124,Orders_Log!$B:$B,"&lt;&gt;"))</f>
        <v/>
      </c>
      <c r="C124">
        <f>IF($A124="","",COUNTIFS(Orders_Log!$C:$C,$A124,Orders_Log!$M:$M,"Yes"))</f>
        <v/>
      </c>
      <c r="D124" s="5">
        <f>IF(B124=0,0,C124/B124)</f>
        <v/>
      </c>
      <c r="E124">
        <f>IF($A124="","",SUMIFS(Orders_Log!$I:$I,Orders_Log!$C:$C,$A124))</f>
        <v/>
      </c>
      <c r="F124">
        <f>IF(B124=0,0,E124/B124)</f>
        <v/>
      </c>
      <c r="G124">
        <f>IF($A124="","",IFERROR(AVERAGEIFS(Orders_Log!$H:$H,Orders_Log!$C:$C,$A124,Orders_Log!$H:$H,"&gt;0"),0))</f>
        <v/>
      </c>
      <c r="H124">
        <f>IF($A124="","",COUNTIFS(Orders_Log!$C:$C,$A124,Orders_Log!$P:$P,"Returned to Picker"))</f>
        <v/>
      </c>
    </row>
    <row r="125">
      <c r="B125">
        <f>IF($A125="","",COUNTIFS(Orders_Log!$C:$C,$A125,Orders_Log!$B:$B,"&lt;&gt;"))</f>
        <v/>
      </c>
      <c r="C125">
        <f>IF($A125="","",COUNTIFS(Orders_Log!$C:$C,$A125,Orders_Log!$M:$M,"Yes"))</f>
        <v/>
      </c>
      <c r="D125" s="5">
        <f>IF(B125=0,0,C125/B125)</f>
        <v/>
      </c>
      <c r="E125">
        <f>IF($A125="","",SUMIFS(Orders_Log!$I:$I,Orders_Log!$C:$C,$A125))</f>
        <v/>
      </c>
      <c r="F125">
        <f>IF(B125=0,0,E125/B125)</f>
        <v/>
      </c>
      <c r="G125">
        <f>IF($A125="","",IFERROR(AVERAGEIFS(Orders_Log!$H:$H,Orders_Log!$C:$C,$A125,Orders_Log!$H:$H,"&gt;0"),0))</f>
        <v/>
      </c>
      <c r="H125">
        <f>IF($A125="","",COUNTIFS(Orders_Log!$C:$C,$A125,Orders_Log!$P:$P,"Returned to Picker"))</f>
        <v/>
      </c>
    </row>
    <row r="126">
      <c r="B126">
        <f>IF($A126="","",COUNTIFS(Orders_Log!$C:$C,$A126,Orders_Log!$B:$B,"&lt;&gt;"))</f>
        <v/>
      </c>
      <c r="C126">
        <f>IF($A126="","",COUNTIFS(Orders_Log!$C:$C,$A126,Orders_Log!$M:$M,"Yes"))</f>
        <v/>
      </c>
      <c r="D126" s="5">
        <f>IF(B126=0,0,C126/B126)</f>
        <v/>
      </c>
      <c r="E126">
        <f>IF($A126="","",SUMIFS(Orders_Log!$I:$I,Orders_Log!$C:$C,$A126))</f>
        <v/>
      </c>
      <c r="F126">
        <f>IF(B126=0,0,E126/B126)</f>
        <v/>
      </c>
      <c r="G126">
        <f>IF($A126="","",IFERROR(AVERAGEIFS(Orders_Log!$H:$H,Orders_Log!$C:$C,$A126,Orders_Log!$H:$H,"&gt;0"),0))</f>
        <v/>
      </c>
      <c r="H126">
        <f>IF($A126="","",COUNTIFS(Orders_Log!$C:$C,$A126,Orders_Log!$P:$P,"Returned to Picker"))</f>
        <v/>
      </c>
    </row>
    <row r="127">
      <c r="B127">
        <f>IF($A127="","",COUNTIFS(Orders_Log!$C:$C,$A127,Orders_Log!$B:$B,"&lt;&gt;"))</f>
        <v/>
      </c>
      <c r="C127">
        <f>IF($A127="","",COUNTIFS(Orders_Log!$C:$C,$A127,Orders_Log!$M:$M,"Yes"))</f>
        <v/>
      </c>
      <c r="D127" s="5">
        <f>IF(B127=0,0,C127/B127)</f>
        <v/>
      </c>
      <c r="E127">
        <f>IF($A127="","",SUMIFS(Orders_Log!$I:$I,Orders_Log!$C:$C,$A127))</f>
        <v/>
      </c>
      <c r="F127">
        <f>IF(B127=0,0,E127/B127)</f>
        <v/>
      </c>
      <c r="G127">
        <f>IF($A127="","",IFERROR(AVERAGEIFS(Orders_Log!$H:$H,Orders_Log!$C:$C,$A127,Orders_Log!$H:$H,"&gt;0"),0))</f>
        <v/>
      </c>
      <c r="H127">
        <f>IF($A127="","",COUNTIFS(Orders_Log!$C:$C,$A127,Orders_Log!$P:$P,"Returned to Picker"))</f>
        <v/>
      </c>
    </row>
    <row r="128">
      <c r="B128">
        <f>IF($A128="","",COUNTIFS(Orders_Log!$C:$C,$A128,Orders_Log!$B:$B,"&lt;&gt;"))</f>
        <v/>
      </c>
      <c r="C128">
        <f>IF($A128="","",COUNTIFS(Orders_Log!$C:$C,$A128,Orders_Log!$M:$M,"Yes"))</f>
        <v/>
      </c>
      <c r="D128" s="5">
        <f>IF(B128=0,0,C128/B128)</f>
        <v/>
      </c>
      <c r="E128">
        <f>IF($A128="","",SUMIFS(Orders_Log!$I:$I,Orders_Log!$C:$C,$A128))</f>
        <v/>
      </c>
      <c r="F128">
        <f>IF(B128=0,0,E128/B128)</f>
        <v/>
      </c>
      <c r="G128">
        <f>IF($A128="","",IFERROR(AVERAGEIFS(Orders_Log!$H:$H,Orders_Log!$C:$C,$A128,Orders_Log!$H:$H,"&gt;0"),0))</f>
        <v/>
      </c>
      <c r="H128">
        <f>IF($A128="","",COUNTIFS(Orders_Log!$C:$C,$A128,Orders_Log!$P:$P,"Returned to Picker"))</f>
        <v/>
      </c>
    </row>
    <row r="129">
      <c r="B129">
        <f>IF($A129="","",COUNTIFS(Orders_Log!$C:$C,$A129,Orders_Log!$B:$B,"&lt;&gt;"))</f>
        <v/>
      </c>
      <c r="C129">
        <f>IF($A129="","",COUNTIFS(Orders_Log!$C:$C,$A129,Orders_Log!$M:$M,"Yes"))</f>
        <v/>
      </c>
      <c r="D129" s="5">
        <f>IF(B129=0,0,C129/B129)</f>
        <v/>
      </c>
      <c r="E129">
        <f>IF($A129="","",SUMIFS(Orders_Log!$I:$I,Orders_Log!$C:$C,$A129))</f>
        <v/>
      </c>
      <c r="F129">
        <f>IF(B129=0,0,E129/B129)</f>
        <v/>
      </c>
      <c r="G129">
        <f>IF($A129="","",IFERROR(AVERAGEIFS(Orders_Log!$H:$H,Orders_Log!$C:$C,$A129,Orders_Log!$H:$H,"&gt;0"),0))</f>
        <v/>
      </c>
      <c r="H129">
        <f>IF($A129="","",COUNTIFS(Orders_Log!$C:$C,$A129,Orders_Log!$P:$P,"Returned to Picker"))</f>
        <v/>
      </c>
    </row>
    <row r="130">
      <c r="B130">
        <f>IF($A130="","",COUNTIFS(Orders_Log!$C:$C,$A130,Orders_Log!$B:$B,"&lt;&gt;"))</f>
        <v/>
      </c>
      <c r="C130">
        <f>IF($A130="","",COUNTIFS(Orders_Log!$C:$C,$A130,Orders_Log!$M:$M,"Yes"))</f>
        <v/>
      </c>
      <c r="D130" s="5">
        <f>IF(B130=0,0,C130/B130)</f>
        <v/>
      </c>
      <c r="E130">
        <f>IF($A130="","",SUMIFS(Orders_Log!$I:$I,Orders_Log!$C:$C,$A130))</f>
        <v/>
      </c>
      <c r="F130">
        <f>IF(B130=0,0,E130/B130)</f>
        <v/>
      </c>
      <c r="G130">
        <f>IF($A130="","",IFERROR(AVERAGEIFS(Orders_Log!$H:$H,Orders_Log!$C:$C,$A130,Orders_Log!$H:$H,"&gt;0"),0))</f>
        <v/>
      </c>
      <c r="H130">
        <f>IF($A130="","",COUNTIFS(Orders_Log!$C:$C,$A130,Orders_Log!$P:$P,"Returned to Picker"))</f>
        <v/>
      </c>
    </row>
    <row r="131">
      <c r="B131">
        <f>IF($A131="","",COUNTIFS(Orders_Log!$C:$C,$A131,Orders_Log!$B:$B,"&lt;&gt;"))</f>
        <v/>
      </c>
      <c r="C131">
        <f>IF($A131="","",COUNTIFS(Orders_Log!$C:$C,$A131,Orders_Log!$M:$M,"Yes"))</f>
        <v/>
      </c>
      <c r="D131" s="5">
        <f>IF(B131=0,0,C131/B131)</f>
        <v/>
      </c>
      <c r="E131">
        <f>IF($A131="","",SUMIFS(Orders_Log!$I:$I,Orders_Log!$C:$C,$A131))</f>
        <v/>
      </c>
      <c r="F131">
        <f>IF(B131=0,0,E131/B131)</f>
        <v/>
      </c>
      <c r="G131">
        <f>IF($A131="","",IFERROR(AVERAGEIFS(Orders_Log!$H:$H,Orders_Log!$C:$C,$A131,Orders_Log!$H:$H,"&gt;0"),0))</f>
        <v/>
      </c>
      <c r="H131">
        <f>IF($A131="","",COUNTIFS(Orders_Log!$C:$C,$A131,Orders_Log!$P:$P,"Returned to Picker"))</f>
        <v/>
      </c>
    </row>
    <row r="132">
      <c r="B132">
        <f>IF($A132="","",COUNTIFS(Orders_Log!$C:$C,$A132,Orders_Log!$B:$B,"&lt;&gt;"))</f>
        <v/>
      </c>
      <c r="C132">
        <f>IF($A132="","",COUNTIFS(Orders_Log!$C:$C,$A132,Orders_Log!$M:$M,"Yes"))</f>
        <v/>
      </c>
      <c r="D132" s="5">
        <f>IF(B132=0,0,C132/B132)</f>
        <v/>
      </c>
      <c r="E132">
        <f>IF($A132="","",SUMIFS(Orders_Log!$I:$I,Orders_Log!$C:$C,$A132))</f>
        <v/>
      </c>
      <c r="F132">
        <f>IF(B132=0,0,E132/B132)</f>
        <v/>
      </c>
      <c r="G132">
        <f>IF($A132="","",IFERROR(AVERAGEIFS(Orders_Log!$H:$H,Orders_Log!$C:$C,$A132,Orders_Log!$H:$H,"&gt;0"),0))</f>
        <v/>
      </c>
      <c r="H132">
        <f>IF($A132="","",COUNTIFS(Orders_Log!$C:$C,$A132,Orders_Log!$P:$P,"Returned to Picker"))</f>
        <v/>
      </c>
    </row>
    <row r="133">
      <c r="B133">
        <f>IF($A133="","",COUNTIFS(Orders_Log!$C:$C,$A133,Orders_Log!$B:$B,"&lt;&gt;"))</f>
        <v/>
      </c>
      <c r="C133">
        <f>IF($A133="","",COUNTIFS(Orders_Log!$C:$C,$A133,Orders_Log!$M:$M,"Yes"))</f>
        <v/>
      </c>
      <c r="D133" s="5">
        <f>IF(B133=0,0,C133/B133)</f>
        <v/>
      </c>
      <c r="E133">
        <f>IF($A133="","",SUMIFS(Orders_Log!$I:$I,Orders_Log!$C:$C,$A133))</f>
        <v/>
      </c>
      <c r="F133">
        <f>IF(B133=0,0,E133/B133)</f>
        <v/>
      </c>
      <c r="G133">
        <f>IF($A133="","",IFERROR(AVERAGEIFS(Orders_Log!$H:$H,Orders_Log!$C:$C,$A133,Orders_Log!$H:$H,"&gt;0"),0))</f>
        <v/>
      </c>
      <c r="H133">
        <f>IF($A133="","",COUNTIFS(Orders_Log!$C:$C,$A133,Orders_Log!$P:$P,"Returned to Picker"))</f>
        <v/>
      </c>
    </row>
    <row r="134">
      <c r="B134">
        <f>IF($A134="","",COUNTIFS(Orders_Log!$C:$C,$A134,Orders_Log!$B:$B,"&lt;&gt;"))</f>
        <v/>
      </c>
      <c r="C134">
        <f>IF($A134="","",COUNTIFS(Orders_Log!$C:$C,$A134,Orders_Log!$M:$M,"Yes"))</f>
        <v/>
      </c>
      <c r="D134" s="5">
        <f>IF(B134=0,0,C134/B134)</f>
        <v/>
      </c>
      <c r="E134">
        <f>IF($A134="","",SUMIFS(Orders_Log!$I:$I,Orders_Log!$C:$C,$A134))</f>
        <v/>
      </c>
      <c r="F134">
        <f>IF(B134=0,0,E134/B134)</f>
        <v/>
      </c>
      <c r="G134">
        <f>IF($A134="","",IFERROR(AVERAGEIFS(Orders_Log!$H:$H,Orders_Log!$C:$C,$A134,Orders_Log!$H:$H,"&gt;0"),0))</f>
        <v/>
      </c>
      <c r="H134">
        <f>IF($A134="","",COUNTIFS(Orders_Log!$C:$C,$A134,Orders_Log!$P:$P,"Returned to Picker"))</f>
        <v/>
      </c>
    </row>
    <row r="135">
      <c r="B135">
        <f>IF($A135="","",COUNTIFS(Orders_Log!$C:$C,$A135,Orders_Log!$B:$B,"&lt;&gt;"))</f>
        <v/>
      </c>
      <c r="C135">
        <f>IF($A135="","",COUNTIFS(Orders_Log!$C:$C,$A135,Orders_Log!$M:$M,"Yes"))</f>
        <v/>
      </c>
      <c r="D135" s="5">
        <f>IF(B135=0,0,C135/B135)</f>
        <v/>
      </c>
      <c r="E135">
        <f>IF($A135="","",SUMIFS(Orders_Log!$I:$I,Orders_Log!$C:$C,$A135))</f>
        <v/>
      </c>
      <c r="F135">
        <f>IF(B135=0,0,E135/B135)</f>
        <v/>
      </c>
      <c r="G135">
        <f>IF($A135="","",IFERROR(AVERAGEIFS(Orders_Log!$H:$H,Orders_Log!$C:$C,$A135,Orders_Log!$H:$H,"&gt;0"),0))</f>
        <v/>
      </c>
      <c r="H135">
        <f>IF($A135="","",COUNTIFS(Orders_Log!$C:$C,$A135,Orders_Log!$P:$P,"Returned to Picker"))</f>
        <v/>
      </c>
    </row>
    <row r="136">
      <c r="B136">
        <f>IF($A136="","",COUNTIFS(Orders_Log!$C:$C,$A136,Orders_Log!$B:$B,"&lt;&gt;"))</f>
        <v/>
      </c>
      <c r="C136">
        <f>IF($A136="","",COUNTIFS(Orders_Log!$C:$C,$A136,Orders_Log!$M:$M,"Yes"))</f>
        <v/>
      </c>
      <c r="D136" s="5">
        <f>IF(B136=0,0,C136/B136)</f>
        <v/>
      </c>
      <c r="E136">
        <f>IF($A136="","",SUMIFS(Orders_Log!$I:$I,Orders_Log!$C:$C,$A136))</f>
        <v/>
      </c>
      <c r="F136">
        <f>IF(B136=0,0,E136/B136)</f>
        <v/>
      </c>
      <c r="G136">
        <f>IF($A136="","",IFERROR(AVERAGEIFS(Orders_Log!$H:$H,Orders_Log!$C:$C,$A136,Orders_Log!$H:$H,"&gt;0"),0))</f>
        <v/>
      </c>
      <c r="H136">
        <f>IF($A136="","",COUNTIFS(Orders_Log!$C:$C,$A136,Orders_Log!$P:$P,"Returned to Picker"))</f>
        <v/>
      </c>
    </row>
    <row r="137">
      <c r="B137">
        <f>IF($A137="","",COUNTIFS(Orders_Log!$C:$C,$A137,Orders_Log!$B:$B,"&lt;&gt;"))</f>
        <v/>
      </c>
      <c r="C137">
        <f>IF($A137="","",COUNTIFS(Orders_Log!$C:$C,$A137,Orders_Log!$M:$M,"Yes"))</f>
        <v/>
      </c>
      <c r="D137" s="5">
        <f>IF(B137=0,0,C137/B137)</f>
        <v/>
      </c>
      <c r="E137">
        <f>IF($A137="","",SUMIFS(Orders_Log!$I:$I,Orders_Log!$C:$C,$A137))</f>
        <v/>
      </c>
      <c r="F137">
        <f>IF(B137=0,0,E137/B137)</f>
        <v/>
      </c>
      <c r="G137">
        <f>IF($A137="","",IFERROR(AVERAGEIFS(Orders_Log!$H:$H,Orders_Log!$C:$C,$A137,Orders_Log!$H:$H,"&gt;0"),0))</f>
        <v/>
      </c>
      <c r="H137">
        <f>IF($A137="","",COUNTIFS(Orders_Log!$C:$C,$A137,Orders_Log!$P:$P,"Returned to Picker"))</f>
        <v/>
      </c>
    </row>
    <row r="138">
      <c r="B138">
        <f>IF($A138="","",COUNTIFS(Orders_Log!$C:$C,$A138,Orders_Log!$B:$B,"&lt;&gt;"))</f>
        <v/>
      </c>
      <c r="C138">
        <f>IF($A138="","",COUNTIFS(Orders_Log!$C:$C,$A138,Orders_Log!$M:$M,"Yes"))</f>
        <v/>
      </c>
      <c r="D138" s="5">
        <f>IF(B138=0,0,C138/B138)</f>
        <v/>
      </c>
      <c r="E138">
        <f>IF($A138="","",SUMIFS(Orders_Log!$I:$I,Orders_Log!$C:$C,$A138))</f>
        <v/>
      </c>
      <c r="F138">
        <f>IF(B138=0,0,E138/B138)</f>
        <v/>
      </c>
      <c r="G138">
        <f>IF($A138="","",IFERROR(AVERAGEIFS(Orders_Log!$H:$H,Orders_Log!$C:$C,$A138,Orders_Log!$H:$H,"&gt;0"),0))</f>
        <v/>
      </c>
      <c r="H138">
        <f>IF($A138="","",COUNTIFS(Orders_Log!$C:$C,$A138,Orders_Log!$P:$P,"Returned to Picker"))</f>
        <v/>
      </c>
    </row>
    <row r="139">
      <c r="B139">
        <f>IF($A139="","",COUNTIFS(Orders_Log!$C:$C,$A139,Orders_Log!$B:$B,"&lt;&gt;"))</f>
        <v/>
      </c>
      <c r="C139">
        <f>IF($A139="","",COUNTIFS(Orders_Log!$C:$C,$A139,Orders_Log!$M:$M,"Yes"))</f>
        <v/>
      </c>
      <c r="D139" s="5">
        <f>IF(B139=0,0,C139/B139)</f>
        <v/>
      </c>
      <c r="E139">
        <f>IF($A139="","",SUMIFS(Orders_Log!$I:$I,Orders_Log!$C:$C,$A139))</f>
        <v/>
      </c>
      <c r="F139">
        <f>IF(B139=0,0,E139/B139)</f>
        <v/>
      </c>
      <c r="G139">
        <f>IF($A139="","",IFERROR(AVERAGEIFS(Orders_Log!$H:$H,Orders_Log!$C:$C,$A139,Orders_Log!$H:$H,"&gt;0"),0))</f>
        <v/>
      </c>
      <c r="H139">
        <f>IF($A139="","",COUNTIFS(Orders_Log!$C:$C,$A139,Orders_Log!$P:$P,"Returned to Picker"))</f>
        <v/>
      </c>
    </row>
    <row r="140">
      <c r="B140">
        <f>IF($A140="","",COUNTIFS(Orders_Log!$C:$C,$A140,Orders_Log!$B:$B,"&lt;&gt;"))</f>
        <v/>
      </c>
      <c r="C140">
        <f>IF($A140="","",COUNTIFS(Orders_Log!$C:$C,$A140,Orders_Log!$M:$M,"Yes"))</f>
        <v/>
      </c>
      <c r="D140" s="5">
        <f>IF(B140=0,0,C140/B140)</f>
        <v/>
      </c>
      <c r="E140">
        <f>IF($A140="","",SUMIFS(Orders_Log!$I:$I,Orders_Log!$C:$C,$A140))</f>
        <v/>
      </c>
      <c r="F140">
        <f>IF(B140=0,0,E140/B140)</f>
        <v/>
      </c>
      <c r="G140">
        <f>IF($A140="","",IFERROR(AVERAGEIFS(Orders_Log!$H:$H,Orders_Log!$C:$C,$A140,Orders_Log!$H:$H,"&gt;0"),0))</f>
        <v/>
      </c>
      <c r="H140">
        <f>IF($A140="","",COUNTIFS(Orders_Log!$C:$C,$A140,Orders_Log!$P:$P,"Returned to Picker"))</f>
        <v/>
      </c>
    </row>
    <row r="141">
      <c r="B141">
        <f>IF($A141="","",COUNTIFS(Orders_Log!$C:$C,$A141,Orders_Log!$B:$B,"&lt;&gt;"))</f>
        <v/>
      </c>
      <c r="C141">
        <f>IF($A141="","",COUNTIFS(Orders_Log!$C:$C,$A141,Orders_Log!$M:$M,"Yes"))</f>
        <v/>
      </c>
      <c r="D141" s="5">
        <f>IF(B141=0,0,C141/B141)</f>
        <v/>
      </c>
      <c r="E141">
        <f>IF($A141="","",SUMIFS(Orders_Log!$I:$I,Orders_Log!$C:$C,$A141))</f>
        <v/>
      </c>
      <c r="F141">
        <f>IF(B141=0,0,E141/B141)</f>
        <v/>
      </c>
      <c r="G141">
        <f>IF($A141="","",IFERROR(AVERAGEIFS(Orders_Log!$H:$H,Orders_Log!$C:$C,$A141,Orders_Log!$H:$H,"&gt;0"),0))</f>
        <v/>
      </c>
      <c r="H141">
        <f>IF($A141="","",COUNTIFS(Orders_Log!$C:$C,$A141,Orders_Log!$P:$P,"Returned to Picker"))</f>
        <v/>
      </c>
    </row>
    <row r="142">
      <c r="B142">
        <f>IF($A142="","",COUNTIFS(Orders_Log!$C:$C,$A142,Orders_Log!$B:$B,"&lt;&gt;"))</f>
        <v/>
      </c>
      <c r="C142">
        <f>IF($A142="","",COUNTIFS(Orders_Log!$C:$C,$A142,Orders_Log!$M:$M,"Yes"))</f>
        <v/>
      </c>
      <c r="D142" s="5">
        <f>IF(B142=0,0,C142/B142)</f>
        <v/>
      </c>
      <c r="E142">
        <f>IF($A142="","",SUMIFS(Orders_Log!$I:$I,Orders_Log!$C:$C,$A142))</f>
        <v/>
      </c>
      <c r="F142">
        <f>IF(B142=0,0,E142/B142)</f>
        <v/>
      </c>
      <c r="G142">
        <f>IF($A142="","",IFERROR(AVERAGEIFS(Orders_Log!$H:$H,Orders_Log!$C:$C,$A142,Orders_Log!$H:$H,"&gt;0"),0))</f>
        <v/>
      </c>
      <c r="H142">
        <f>IF($A142="","",COUNTIFS(Orders_Log!$C:$C,$A142,Orders_Log!$P:$P,"Returned to Picker"))</f>
        <v/>
      </c>
    </row>
    <row r="143">
      <c r="B143">
        <f>IF($A143="","",COUNTIFS(Orders_Log!$C:$C,$A143,Orders_Log!$B:$B,"&lt;&gt;"))</f>
        <v/>
      </c>
      <c r="C143">
        <f>IF($A143="","",COUNTIFS(Orders_Log!$C:$C,$A143,Orders_Log!$M:$M,"Yes"))</f>
        <v/>
      </c>
      <c r="D143" s="5">
        <f>IF(B143=0,0,C143/B143)</f>
        <v/>
      </c>
      <c r="E143">
        <f>IF($A143="","",SUMIFS(Orders_Log!$I:$I,Orders_Log!$C:$C,$A143))</f>
        <v/>
      </c>
      <c r="F143">
        <f>IF(B143=0,0,E143/B143)</f>
        <v/>
      </c>
      <c r="G143">
        <f>IF($A143="","",IFERROR(AVERAGEIFS(Orders_Log!$H:$H,Orders_Log!$C:$C,$A143,Orders_Log!$H:$H,"&gt;0"),0))</f>
        <v/>
      </c>
      <c r="H143">
        <f>IF($A143="","",COUNTIFS(Orders_Log!$C:$C,$A143,Orders_Log!$P:$P,"Returned to Picker"))</f>
        <v/>
      </c>
    </row>
    <row r="144">
      <c r="B144">
        <f>IF($A144="","",COUNTIFS(Orders_Log!$C:$C,$A144,Orders_Log!$B:$B,"&lt;&gt;"))</f>
        <v/>
      </c>
      <c r="C144">
        <f>IF($A144="","",COUNTIFS(Orders_Log!$C:$C,$A144,Orders_Log!$M:$M,"Yes"))</f>
        <v/>
      </c>
      <c r="D144" s="5">
        <f>IF(B144=0,0,C144/B144)</f>
        <v/>
      </c>
      <c r="E144">
        <f>IF($A144="","",SUMIFS(Orders_Log!$I:$I,Orders_Log!$C:$C,$A144))</f>
        <v/>
      </c>
      <c r="F144">
        <f>IF(B144=0,0,E144/B144)</f>
        <v/>
      </c>
      <c r="G144">
        <f>IF($A144="","",IFERROR(AVERAGEIFS(Orders_Log!$H:$H,Orders_Log!$C:$C,$A144,Orders_Log!$H:$H,"&gt;0"),0))</f>
        <v/>
      </c>
      <c r="H144">
        <f>IF($A144="","",COUNTIFS(Orders_Log!$C:$C,$A144,Orders_Log!$P:$P,"Returned to Picker"))</f>
        <v/>
      </c>
    </row>
    <row r="145">
      <c r="B145">
        <f>IF($A145="","",COUNTIFS(Orders_Log!$C:$C,$A145,Orders_Log!$B:$B,"&lt;&gt;"))</f>
        <v/>
      </c>
      <c r="C145">
        <f>IF($A145="","",COUNTIFS(Orders_Log!$C:$C,$A145,Orders_Log!$M:$M,"Yes"))</f>
        <v/>
      </c>
      <c r="D145" s="5">
        <f>IF(B145=0,0,C145/B145)</f>
        <v/>
      </c>
      <c r="E145">
        <f>IF($A145="","",SUMIFS(Orders_Log!$I:$I,Orders_Log!$C:$C,$A145))</f>
        <v/>
      </c>
      <c r="F145">
        <f>IF(B145=0,0,E145/B145)</f>
        <v/>
      </c>
      <c r="G145">
        <f>IF($A145="","",IFERROR(AVERAGEIFS(Orders_Log!$H:$H,Orders_Log!$C:$C,$A145,Orders_Log!$H:$H,"&gt;0"),0))</f>
        <v/>
      </c>
      <c r="H145">
        <f>IF($A145="","",COUNTIFS(Orders_Log!$C:$C,$A145,Orders_Log!$P:$P,"Returned to Picker"))</f>
        <v/>
      </c>
    </row>
    <row r="146">
      <c r="B146">
        <f>IF($A146="","",COUNTIFS(Orders_Log!$C:$C,$A146,Orders_Log!$B:$B,"&lt;&gt;"))</f>
        <v/>
      </c>
      <c r="C146">
        <f>IF($A146="","",COUNTIFS(Orders_Log!$C:$C,$A146,Orders_Log!$M:$M,"Yes"))</f>
        <v/>
      </c>
      <c r="D146" s="5">
        <f>IF(B146=0,0,C146/B146)</f>
        <v/>
      </c>
      <c r="E146">
        <f>IF($A146="","",SUMIFS(Orders_Log!$I:$I,Orders_Log!$C:$C,$A146))</f>
        <v/>
      </c>
      <c r="F146">
        <f>IF(B146=0,0,E146/B146)</f>
        <v/>
      </c>
      <c r="G146">
        <f>IF($A146="","",IFERROR(AVERAGEIFS(Orders_Log!$H:$H,Orders_Log!$C:$C,$A146,Orders_Log!$H:$H,"&gt;0"),0))</f>
        <v/>
      </c>
      <c r="H146">
        <f>IF($A146="","",COUNTIFS(Orders_Log!$C:$C,$A146,Orders_Log!$P:$P,"Returned to Picker"))</f>
        <v/>
      </c>
    </row>
    <row r="147">
      <c r="B147">
        <f>IF($A147="","",COUNTIFS(Orders_Log!$C:$C,$A147,Orders_Log!$B:$B,"&lt;&gt;"))</f>
        <v/>
      </c>
      <c r="C147">
        <f>IF($A147="","",COUNTIFS(Orders_Log!$C:$C,$A147,Orders_Log!$M:$M,"Yes"))</f>
        <v/>
      </c>
      <c r="D147" s="5">
        <f>IF(B147=0,0,C147/B147)</f>
        <v/>
      </c>
      <c r="E147">
        <f>IF($A147="","",SUMIFS(Orders_Log!$I:$I,Orders_Log!$C:$C,$A147))</f>
        <v/>
      </c>
      <c r="F147">
        <f>IF(B147=0,0,E147/B147)</f>
        <v/>
      </c>
      <c r="G147">
        <f>IF($A147="","",IFERROR(AVERAGEIFS(Orders_Log!$H:$H,Orders_Log!$C:$C,$A147,Orders_Log!$H:$H,"&gt;0"),0))</f>
        <v/>
      </c>
      <c r="H147">
        <f>IF($A147="","",COUNTIFS(Orders_Log!$C:$C,$A147,Orders_Log!$P:$P,"Returned to Picker"))</f>
        <v/>
      </c>
    </row>
    <row r="148">
      <c r="B148">
        <f>IF($A148="","",COUNTIFS(Orders_Log!$C:$C,$A148,Orders_Log!$B:$B,"&lt;&gt;"))</f>
        <v/>
      </c>
      <c r="C148">
        <f>IF($A148="","",COUNTIFS(Orders_Log!$C:$C,$A148,Orders_Log!$M:$M,"Yes"))</f>
        <v/>
      </c>
      <c r="D148" s="5">
        <f>IF(B148=0,0,C148/B148)</f>
        <v/>
      </c>
      <c r="E148">
        <f>IF($A148="","",SUMIFS(Orders_Log!$I:$I,Orders_Log!$C:$C,$A148))</f>
        <v/>
      </c>
      <c r="F148">
        <f>IF(B148=0,0,E148/B148)</f>
        <v/>
      </c>
      <c r="G148">
        <f>IF($A148="","",IFERROR(AVERAGEIFS(Orders_Log!$H:$H,Orders_Log!$C:$C,$A148,Orders_Log!$H:$H,"&gt;0"),0))</f>
        <v/>
      </c>
      <c r="H148">
        <f>IF($A148="","",COUNTIFS(Orders_Log!$C:$C,$A148,Orders_Log!$P:$P,"Returned to Picker"))</f>
        <v/>
      </c>
    </row>
    <row r="149">
      <c r="B149">
        <f>IF($A149="","",COUNTIFS(Orders_Log!$C:$C,$A149,Orders_Log!$B:$B,"&lt;&gt;"))</f>
        <v/>
      </c>
      <c r="C149">
        <f>IF($A149="","",COUNTIFS(Orders_Log!$C:$C,$A149,Orders_Log!$M:$M,"Yes"))</f>
        <v/>
      </c>
      <c r="D149" s="5">
        <f>IF(B149=0,0,C149/B149)</f>
        <v/>
      </c>
      <c r="E149">
        <f>IF($A149="","",SUMIFS(Orders_Log!$I:$I,Orders_Log!$C:$C,$A149))</f>
        <v/>
      </c>
      <c r="F149">
        <f>IF(B149=0,0,E149/B149)</f>
        <v/>
      </c>
      <c r="G149">
        <f>IF($A149="","",IFERROR(AVERAGEIFS(Orders_Log!$H:$H,Orders_Log!$C:$C,$A149,Orders_Log!$H:$H,"&gt;0"),0))</f>
        <v/>
      </c>
      <c r="H149">
        <f>IF($A149="","",COUNTIFS(Orders_Log!$C:$C,$A149,Orders_Log!$P:$P,"Returned to Picker"))</f>
        <v/>
      </c>
    </row>
    <row r="150">
      <c r="B150">
        <f>IF($A150="","",COUNTIFS(Orders_Log!$C:$C,$A150,Orders_Log!$B:$B,"&lt;&gt;"))</f>
        <v/>
      </c>
      <c r="C150">
        <f>IF($A150="","",COUNTIFS(Orders_Log!$C:$C,$A150,Orders_Log!$M:$M,"Yes"))</f>
        <v/>
      </c>
      <c r="D150" s="5">
        <f>IF(B150=0,0,C150/B150)</f>
        <v/>
      </c>
      <c r="E150">
        <f>IF($A150="","",SUMIFS(Orders_Log!$I:$I,Orders_Log!$C:$C,$A150))</f>
        <v/>
      </c>
      <c r="F150">
        <f>IF(B150=0,0,E150/B150)</f>
        <v/>
      </c>
      <c r="G150">
        <f>IF($A150="","",IFERROR(AVERAGEIFS(Orders_Log!$H:$H,Orders_Log!$C:$C,$A150,Orders_Log!$H:$H,"&gt;0"),0))</f>
        <v/>
      </c>
      <c r="H150">
        <f>IF($A150="","",COUNTIFS(Orders_Log!$C:$C,$A150,Orders_Log!$P:$P,"Returned to Picker"))</f>
        <v/>
      </c>
    </row>
    <row r="151">
      <c r="B151">
        <f>IF($A151="","",COUNTIFS(Orders_Log!$C:$C,$A151,Orders_Log!$B:$B,"&lt;&gt;"))</f>
        <v/>
      </c>
      <c r="C151">
        <f>IF($A151="","",COUNTIFS(Orders_Log!$C:$C,$A151,Orders_Log!$M:$M,"Yes"))</f>
        <v/>
      </c>
      <c r="D151" s="5">
        <f>IF(B151=0,0,C151/B151)</f>
        <v/>
      </c>
      <c r="E151">
        <f>IF($A151="","",SUMIFS(Orders_Log!$I:$I,Orders_Log!$C:$C,$A151))</f>
        <v/>
      </c>
      <c r="F151">
        <f>IF(B151=0,0,E151/B151)</f>
        <v/>
      </c>
      <c r="G151">
        <f>IF($A151="","",IFERROR(AVERAGEIFS(Orders_Log!$H:$H,Orders_Log!$C:$C,$A151,Orders_Log!$H:$H,"&gt;0"),0))</f>
        <v/>
      </c>
      <c r="H151">
        <f>IF($A151="","",COUNTIFS(Orders_Log!$C:$C,$A151,Orders_Log!$P:$P,"Returned to Picker"))</f>
        <v/>
      </c>
    </row>
    <row r="152">
      <c r="B152">
        <f>IF($A152="","",COUNTIFS(Orders_Log!$C:$C,$A152,Orders_Log!$B:$B,"&lt;&gt;"))</f>
        <v/>
      </c>
      <c r="C152">
        <f>IF($A152="","",COUNTIFS(Orders_Log!$C:$C,$A152,Orders_Log!$M:$M,"Yes"))</f>
        <v/>
      </c>
      <c r="D152" s="5">
        <f>IF(B152=0,0,C152/B152)</f>
        <v/>
      </c>
      <c r="E152">
        <f>IF($A152="","",SUMIFS(Orders_Log!$I:$I,Orders_Log!$C:$C,$A152))</f>
        <v/>
      </c>
      <c r="F152">
        <f>IF(B152=0,0,E152/B152)</f>
        <v/>
      </c>
      <c r="G152">
        <f>IF($A152="","",IFERROR(AVERAGEIFS(Orders_Log!$H:$H,Orders_Log!$C:$C,$A152,Orders_Log!$H:$H,"&gt;0"),0))</f>
        <v/>
      </c>
      <c r="H152">
        <f>IF($A152="","",COUNTIFS(Orders_Log!$C:$C,$A152,Orders_Log!$P:$P,"Returned to Picker"))</f>
        <v/>
      </c>
    </row>
    <row r="153">
      <c r="B153">
        <f>IF($A153="","",COUNTIFS(Orders_Log!$C:$C,$A153,Orders_Log!$B:$B,"&lt;&gt;"))</f>
        <v/>
      </c>
      <c r="C153">
        <f>IF($A153="","",COUNTIFS(Orders_Log!$C:$C,$A153,Orders_Log!$M:$M,"Yes"))</f>
        <v/>
      </c>
      <c r="D153" s="5">
        <f>IF(B153=0,0,C153/B153)</f>
        <v/>
      </c>
      <c r="E153">
        <f>IF($A153="","",SUMIFS(Orders_Log!$I:$I,Orders_Log!$C:$C,$A153))</f>
        <v/>
      </c>
      <c r="F153">
        <f>IF(B153=0,0,E153/B153)</f>
        <v/>
      </c>
      <c r="G153">
        <f>IF($A153="","",IFERROR(AVERAGEIFS(Orders_Log!$H:$H,Orders_Log!$C:$C,$A153,Orders_Log!$H:$H,"&gt;0"),0))</f>
        <v/>
      </c>
      <c r="H153">
        <f>IF($A153="","",COUNTIFS(Orders_Log!$C:$C,$A153,Orders_Log!$P:$P,"Returned to Picker"))</f>
        <v/>
      </c>
    </row>
    <row r="154">
      <c r="B154">
        <f>IF($A154="","",COUNTIFS(Orders_Log!$C:$C,$A154,Orders_Log!$B:$B,"&lt;&gt;"))</f>
        <v/>
      </c>
      <c r="C154">
        <f>IF($A154="","",COUNTIFS(Orders_Log!$C:$C,$A154,Orders_Log!$M:$M,"Yes"))</f>
        <v/>
      </c>
      <c r="D154" s="5">
        <f>IF(B154=0,0,C154/B154)</f>
        <v/>
      </c>
      <c r="E154">
        <f>IF($A154="","",SUMIFS(Orders_Log!$I:$I,Orders_Log!$C:$C,$A154))</f>
        <v/>
      </c>
      <c r="F154">
        <f>IF(B154=0,0,E154/B154)</f>
        <v/>
      </c>
      <c r="G154">
        <f>IF($A154="","",IFERROR(AVERAGEIFS(Orders_Log!$H:$H,Orders_Log!$C:$C,$A154,Orders_Log!$H:$H,"&gt;0"),0))</f>
        <v/>
      </c>
      <c r="H154">
        <f>IF($A154="","",COUNTIFS(Orders_Log!$C:$C,$A154,Orders_Log!$P:$P,"Returned to Picker"))</f>
        <v/>
      </c>
    </row>
    <row r="155">
      <c r="B155">
        <f>IF($A155="","",COUNTIFS(Orders_Log!$C:$C,$A155,Orders_Log!$B:$B,"&lt;&gt;"))</f>
        <v/>
      </c>
      <c r="C155">
        <f>IF($A155="","",COUNTIFS(Orders_Log!$C:$C,$A155,Orders_Log!$M:$M,"Yes"))</f>
        <v/>
      </c>
      <c r="D155" s="5">
        <f>IF(B155=0,0,C155/B155)</f>
        <v/>
      </c>
      <c r="E155">
        <f>IF($A155="","",SUMIFS(Orders_Log!$I:$I,Orders_Log!$C:$C,$A155))</f>
        <v/>
      </c>
      <c r="F155">
        <f>IF(B155=0,0,E155/B155)</f>
        <v/>
      </c>
      <c r="G155">
        <f>IF($A155="","",IFERROR(AVERAGEIFS(Orders_Log!$H:$H,Orders_Log!$C:$C,$A155,Orders_Log!$H:$H,"&gt;0"),0))</f>
        <v/>
      </c>
      <c r="H155">
        <f>IF($A155="","",COUNTIFS(Orders_Log!$C:$C,$A155,Orders_Log!$P:$P,"Returned to Picker"))</f>
        <v/>
      </c>
    </row>
    <row r="156">
      <c r="B156">
        <f>IF($A156="","",COUNTIFS(Orders_Log!$C:$C,$A156,Orders_Log!$B:$B,"&lt;&gt;"))</f>
        <v/>
      </c>
      <c r="C156">
        <f>IF($A156="","",COUNTIFS(Orders_Log!$C:$C,$A156,Orders_Log!$M:$M,"Yes"))</f>
        <v/>
      </c>
      <c r="D156" s="5">
        <f>IF(B156=0,0,C156/B156)</f>
        <v/>
      </c>
      <c r="E156">
        <f>IF($A156="","",SUMIFS(Orders_Log!$I:$I,Orders_Log!$C:$C,$A156))</f>
        <v/>
      </c>
      <c r="F156">
        <f>IF(B156=0,0,E156/B156)</f>
        <v/>
      </c>
      <c r="G156">
        <f>IF($A156="","",IFERROR(AVERAGEIFS(Orders_Log!$H:$H,Orders_Log!$C:$C,$A156,Orders_Log!$H:$H,"&gt;0"),0))</f>
        <v/>
      </c>
      <c r="H156">
        <f>IF($A156="","",COUNTIFS(Orders_Log!$C:$C,$A156,Orders_Log!$P:$P,"Returned to Picker"))</f>
        <v/>
      </c>
    </row>
    <row r="157">
      <c r="B157">
        <f>IF($A157="","",COUNTIFS(Orders_Log!$C:$C,$A157,Orders_Log!$B:$B,"&lt;&gt;"))</f>
        <v/>
      </c>
      <c r="C157">
        <f>IF($A157="","",COUNTIFS(Orders_Log!$C:$C,$A157,Orders_Log!$M:$M,"Yes"))</f>
        <v/>
      </c>
      <c r="D157" s="5">
        <f>IF(B157=0,0,C157/B157)</f>
        <v/>
      </c>
      <c r="E157">
        <f>IF($A157="","",SUMIFS(Orders_Log!$I:$I,Orders_Log!$C:$C,$A157))</f>
        <v/>
      </c>
      <c r="F157">
        <f>IF(B157=0,0,E157/B157)</f>
        <v/>
      </c>
      <c r="G157">
        <f>IF($A157="","",IFERROR(AVERAGEIFS(Orders_Log!$H:$H,Orders_Log!$C:$C,$A157,Orders_Log!$H:$H,"&gt;0"),0))</f>
        <v/>
      </c>
      <c r="H157">
        <f>IF($A157="","",COUNTIFS(Orders_Log!$C:$C,$A157,Orders_Log!$P:$P,"Returned to Picker"))</f>
        <v/>
      </c>
    </row>
    <row r="158">
      <c r="B158">
        <f>IF($A158="","",COUNTIFS(Orders_Log!$C:$C,$A158,Orders_Log!$B:$B,"&lt;&gt;"))</f>
        <v/>
      </c>
      <c r="C158">
        <f>IF($A158="","",COUNTIFS(Orders_Log!$C:$C,$A158,Orders_Log!$M:$M,"Yes"))</f>
        <v/>
      </c>
      <c r="D158" s="5">
        <f>IF(B158=0,0,C158/B158)</f>
        <v/>
      </c>
      <c r="E158">
        <f>IF($A158="","",SUMIFS(Orders_Log!$I:$I,Orders_Log!$C:$C,$A158))</f>
        <v/>
      </c>
      <c r="F158">
        <f>IF(B158=0,0,E158/B158)</f>
        <v/>
      </c>
      <c r="G158">
        <f>IF($A158="","",IFERROR(AVERAGEIFS(Orders_Log!$H:$H,Orders_Log!$C:$C,$A158,Orders_Log!$H:$H,"&gt;0"),0))</f>
        <v/>
      </c>
      <c r="H158">
        <f>IF($A158="","",COUNTIFS(Orders_Log!$C:$C,$A158,Orders_Log!$P:$P,"Returned to Picker"))</f>
        <v/>
      </c>
    </row>
    <row r="159">
      <c r="B159">
        <f>IF($A159="","",COUNTIFS(Orders_Log!$C:$C,$A159,Orders_Log!$B:$B,"&lt;&gt;"))</f>
        <v/>
      </c>
      <c r="C159">
        <f>IF($A159="","",COUNTIFS(Orders_Log!$C:$C,$A159,Orders_Log!$M:$M,"Yes"))</f>
        <v/>
      </c>
      <c r="D159" s="5">
        <f>IF(B159=0,0,C159/B159)</f>
        <v/>
      </c>
      <c r="E159">
        <f>IF($A159="","",SUMIFS(Orders_Log!$I:$I,Orders_Log!$C:$C,$A159))</f>
        <v/>
      </c>
      <c r="F159">
        <f>IF(B159=0,0,E159/B159)</f>
        <v/>
      </c>
      <c r="G159">
        <f>IF($A159="","",IFERROR(AVERAGEIFS(Orders_Log!$H:$H,Orders_Log!$C:$C,$A159,Orders_Log!$H:$H,"&gt;0"),0))</f>
        <v/>
      </c>
      <c r="H159">
        <f>IF($A159="","",COUNTIFS(Orders_Log!$C:$C,$A159,Orders_Log!$P:$P,"Returned to Picker"))</f>
        <v/>
      </c>
    </row>
    <row r="160">
      <c r="B160">
        <f>IF($A160="","",COUNTIFS(Orders_Log!$C:$C,$A160,Orders_Log!$B:$B,"&lt;&gt;"))</f>
        <v/>
      </c>
      <c r="C160">
        <f>IF($A160="","",COUNTIFS(Orders_Log!$C:$C,$A160,Orders_Log!$M:$M,"Yes"))</f>
        <v/>
      </c>
      <c r="D160" s="5">
        <f>IF(B160=0,0,C160/B160)</f>
        <v/>
      </c>
      <c r="E160">
        <f>IF($A160="","",SUMIFS(Orders_Log!$I:$I,Orders_Log!$C:$C,$A160))</f>
        <v/>
      </c>
      <c r="F160">
        <f>IF(B160=0,0,E160/B160)</f>
        <v/>
      </c>
      <c r="G160">
        <f>IF($A160="","",IFERROR(AVERAGEIFS(Orders_Log!$H:$H,Orders_Log!$C:$C,$A160,Orders_Log!$H:$H,"&gt;0"),0))</f>
        <v/>
      </c>
      <c r="H160">
        <f>IF($A160="","",COUNTIFS(Orders_Log!$C:$C,$A160,Orders_Log!$P:$P,"Returned to Picker"))</f>
        <v/>
      </c>
    </row>
    <row r="161">
      <c r="B161">
        <f>IF($A161="","",COUNTIFS(Orders_Log!$C:$C,$A161,Orders_Log!$B:$B,"&lt;&gt;"))</f>
        <v/>
      </c>
      <c r="C161">
        <f>IF($A161="","",COUNTIFS(Orders_Log!$C:$C,$A161,Orders_Log!$M:$M,"Yes"))</f>
        <v/>
      </c>
      <c r="D161" s="5">
        <f>IF(B161=0,0,C161/B161)</f>
        <v/>
      </c>
      <c r="E161">
        <f>IF($A161="","",SUMIFS(Orders_Log!$I:$I,Orders_Log!$C:$C,$A161))</f>
        <v/>
      </c>
      <c r="F161">
        <f>IF(B161=0,0,E161/B161)</f>
        <v/>
      </c>
      <c r="G161">
        <f>IF($A161="","",IFERROR(AVERAGEIFS(Orders_Log!$H:$H,Orders_Log!$C:$C,$A161,Orders_Log!$H:$H,"&gt;0"),0))</f>
        <v/>
      </c>
      <c r="H161">
        <f>IF($A161="","",COUNTIFS(Orders_Log!$C:$C,$A161,Orders_Log!$P:$P,"Returned to Picker"))</f>
        <v/>
      </c>
    </row>
    <row r="162">
      <c r="B162">
        <f>IF($A162="","",COUNTIFS(Orders_Log!$C:$C,$A162,Orders_Log!$B:$B,"&lt;&gt;"))</f>
        <v/>
      </c>
      <c r="C162">
        <f>IF($A162="","",COUNTIFS(Orders_Log!$C:$C,$A162,Orders_Log!$M:$M,"Yes"))</f>
        <v/>
      </c>
      <c r="D162" s="5">
        <f>IF(B162=0,0,C162/B162)</f>
        <v/>
      </c>
      <c r="E162">
        <f>IF($A162="","",SUMIFS(Orders_Log!$I:$I,Orders_Log!$C:$C,$A162))</f>
        <v/>
      </c>
      <c r="F162">
        <f>IF(B162=0,0,E162/B162)</f>
        <v/>
      </c>
      <c r="G162">
        <f>IF($A162="","",IFERROR(AVERAGEIFS(Orders_Log!$H:$H,Orders_Log!$C:$C,$A162,Orders_Log!$H:$H,"&gt;0"),0))</f>
        <v/>
      </c>
      <c r="H162">
        <f>IF($A162="","",COUNTIFS(Orders_Log!$C:$C,$A162,Orders_Log!$P:$P,"Returned to Picker"))</f>
        <v/>
      </c>
    </row>
    <row r="163">
      <c r="B163">
        <f>IF($A163="","",COUNTIFS(Orders_Log!$C:$C,$A163,Orders_Log!$B:$B,"&lt;&gt;"))</f>
        <v/>
      </c>
      <c r="C163">
        <f>IF($A163="","",COUNTIFS(Orders_Log!$C:$C,$A163,Orders_Log!$M:$M,"Yes"))</f>
        <v/>
      </c>
      <c r="D163" s="5">
        <f>IF(B163=0,0,C163/B163)</f>
        <v/>
      </c>
      <c r="E163">
        <f>IF($A163="","",SUMIFS(Orders_Log!$I:$I,Orders_Log!$C:$C,$A163))</f>
        <v/>
      </c>
      <c r="F163">
        <f>IF(B163=0,0,E163/B163)</f>
        <v/>
      </c>
      <c r="G163">
        <f>IF($A163="","",IFERROR(AVERAGEIFS(Orders_Log!$H:$H,Orders_Log!$C:$C,$A163,Orders_Log!$H:$H,"&gt;0"),0))</f>
        <v/>
      </c>
      <c r="H163">
        <f>IF($A163="","",COUNTIFS(Orders_Log!$C:$C,$A163,Orders_Log!$P:$P,"Returned to Picker"))</f>
        <v/>
      </c>
    </row>
    <row r="164">
      <c r="B164">
        <f>IF($A164="","",COUNTIFS(Orders_Log!$C:$C,$A164,Orders_Log!$B:$B,"&lt;&gt;"))</f>
        <v/>
      </c>
      <c r="C164">
        <f>IF($A164="","",COUNTIFS(Orders_Log!$C:$C,$A164,Orders_Log!$M:$M,"Yes"))</f>
        <v/>
      </c>
      <c r="D164" s="5">
        <f>IF(B164=0,0,C164/B164)</f>
        <v/>
      </c>
      <c r="E164">
        <f>IF($A164="","",SUMIFS(Orders_Log!$I:$I,Orders_Log!$C:$C,$A164))</f>
        <v/>
      </c>
      <c r="F164">
        <f>IF(B164=0,0,E164/B164)</f>
        <v/>
      </c>
      <c r="G164">
        <f>IF($A164="","",IFERROR(AVERAGEIFS(Orders_Log!$H:$H,Orders_Log!$C:$C,$A164,Orders_Log!$H:$H,"&gt;0"),0))</f>
        <v/>
      </c>
      <c r="H164">
        <f>IF($A164="","",COUNTIFS(Orders_Log!$C:$C,$A164,Orders_Log!$P:$P,"Returned to Picker"))</f>
        <v/>
      </c>
    </row>
    <row r="165">
      <c r="B165">
        <f>IF($A165="","",COUNTIFS(Orders_Log!$C:$C,$A165,Orders_Log!$B:$B,"&lt;&gt;"))</f>
        <v/>
      </c>
      <c r="C165">
        <f>IF($A165="","",COUNTIFS(Orders_Log!$C:$C,$A165,Orders_Log!$M:$M,"Yes"))</f>
        <v/>
      </c>
      <c r="D165" s="5">
        <f>IF(B165=0,0,C165/B165)</f>
        <v/>
      </c>
      <c r="E165">
        <f>IF($A165="","",SUMIFS(Orders_Log!$I:$I,Orders_Log!$C:$C,$A165))</f>
        <v/>
      </c>
      <c r="F165">
        <f>IF(B165=0,0,E165/B165)</f>
        <v/>
      </c>
      <c r="G165">
        <f>IF($A165="","",IFERROR(AVERAGEIFS(Orders_Log!$H:$H,Orders_Log!$C:$C,$A165,Orders_Log!$H:$H,"&gt;0"),0))</f>
        <v/>
      </c>
      <c r="H165">
        <f>IF($A165="","",COUNTIFS(Orders_Log!$C:$C,$A165,Orders_Log!$P:$P,"Returned to Picker"))</f>
        <v/>
      </c>
    </row>
    <row r="166">
      <c r="B166">
        <f>IF($A166="","",COUNTIFS(Orders_Log!$C:$C,$A166,Orders_Log!$B:$B,"&lt;&gt;"))</f>
        <v/>
      </c>
      <c r="C166">
        <f>IF($A166="","",COUNTIFS(Orders_Log!$C:$C,$A166,Orders_Log!$M:$M,"Yes"))</f>
        <v/>
      </c>
      <c r="D166" s="5">
        <f>IF(B166=0,0,C166/B166)</f>
        <v/>
      </c>
      <c r="E166">
        <f>IF($A166="","",SUMIFS(Orders_Log!$I:$I,Orders_Log!$C:$C,$A166))</f>
        <v/>
      </c>
      <c r="F166">
        <f>IF(B166=0,0,E166/B166)</f>
        <v/>
      </c>
      <c r="G166">
        <f>IF($A166="","",IFERROR(AVERAGEIFS(Orders_Log!$H:$H,Orders_Log!$C:$C,$A166,Orders_Log!$H:$H,"&gt;0"),0))</f>
        <v/>
      </c>
      <c r="H166">
        <f>IF($A166="","",COUNTIFS(Orders_Log!$C:$C,$A166,Orders_Log!$P:$P,"Returned to Picker"))</f>
        <v/>
      </c>
    </row>
    <row r="167">
      <c r="B167">
        <f>IF($A167="","",COUNTIFS(Orders_Log!$C:$C,$A167,Orders_Log!$B:$B,"&lt;&gt;"))</f>
        <v/>
      </c>
      <c r="C167">
        <f>IF($A167="","",COUNTIFS(Orders_Log!$C:$C,$A167,Orders_Log!$M:$M,"Yes"))</f>
        <v/>
      </c>
      <c r="D167" s="5">
        <f>IF(B167=0,0,C167/B167)</f>
        <v/>
      </c>
      <c r="E167">
        <f>IF($A167="","",SUMIFS(Orders_Log!$I:$I,Orders_Log!$C:$C,$A167))</f>
        <v/>
      </c>
      <c r="F167">
        <f>IF(B167=0,0,E167/B167)</f>
        <v/>
      </c>
      <c r="G167">
        <f>IF($A167="","",IFERROR(AVERAGEIFS(Orders_Log!$H:$H,Orders_Log!$C:$C,$A167,Orders_Log!$H:$H,"&gt;0"),0))</f>
        <v/>
      </c>
      <c r="H167">
        <f>IF($A167="","",COUNTIFS(Orders_Log!$C:$C,$A167,Orders_Log!$P:$P,"Returned to Picker"))</f>
        <v/>
      </c>
    </row>
    <row r="168">
      <c r="B168">
        <f>IF($A168="","",COUNTIFS(Orders_Log!$C:$C,$A168,Orders_Log!$B:$B,"&lt;&gt;"))</f>
        <v/>
      </c>
      <c r="C168">
        <f>IF($A168="","",COUNTIFS(Orders_Log!$C:$C,$A168,Orders_Log!$M:$M,"Yes"))</f>
        <v/>
      </c>
      <c r="D168" s="5">
        <f>IF(B168=0,0,C168/B168)</f>
        <v/>
      </c>
      <c r="E168">
        <f>IF($A168="","",SUMIFS(Orders_Log!$I:$I,Orders_Log!$C:$C,$A168))</f>
        <v/>
      </c>
      <c r="F168">
        <f>IF(B168=0,0,E168/B168)</f>
        <v/>
      </c>
      <c r="G168">
        <f>IF($A168="","",IFERROR(AVERAGEIFS(Orders_Log!$H:$H,Orders_Log!$C:$C,$A168,Orders_Log!$H:$H,"&gt;0"),0))</f>
        <v/>
      </c>
      <c r="H168">
        <f>IF($A168="","",COUNTIFS(Orders_Log!$C:$C,$A168,Orders_Log!$P:$P,"Returned to Picker"))</f>
        <v/>
      </c>
    </row>
    <row r="169">
      <c r="B169">
        <f>IF($A169="","",COUNTIFS(Orders_Log!$C:$C,$A169,Orders_Log!$B:$B,"&lt;&gt;"))</f>
        <v/>
      </c>
      <c r="C169">
        <f>IF($A169="","",COUNTIFS(Orders_Log!$C:$C,$A169,Orders_Log!$M:$M,"Yes"))</f>
        <v/>
      </c>
      <c r="D169" s="5">
        <f>IF(B169=0,0,C169/B169)</f>
        <v/>
      </c>
      <c r="E169">
        <f>IF($A169="","",SUMIFS(Orders_Log!$I:$I,Orders_Log!$C:$C,$A169))</f>
        <v/>
      </c>
      <c r="F169">
        <f>IF(B169=0,0,E169/B169)</f>
        <v/>
      </c>
      <c r="G169">
        <f>IF($A169="","",IFERROR(AVERAGEIFS(Orders_Log!$H:$H,Orders_Log!$C:$C,$A169,Orders_Log!$H:$H,"&gt;0"),0))</f>
        <v/>
      </c>
      <c r="H169">
        <f>IF($A169="","",COUNTIFS(Orders_Log!$C:$C,$A169,Orders_Log!$P:$P,"Returned to Picker"))</f>
        <v/>
      </c>
    </row>
    <row r="170">
      <c r="B170">
        <f>IF($A170="","",COUNTIFS(Orders_Log!$C:$C,$A170,Orders_Log!$B:$B,"&lt;&gt;"))</f>
        <v/>
      </c>
      <c r="C170">
        <f>IF($A170="","",COUNTIFS(Orders_Log!$C:$C,$A170,Orders_Log!$M:$M,"Yes"))</f>
        <v/>
      </c>
      <c r="D170" s="5">
        <f>IF(B170=0,0,C170/B170)</f>
        <v/>
      </c>
      <c r="E170">
        <f>IF($A170="","",SUMIFS(Orders_Log!$I:$I,Orders_Log!$C:$C,$A170))</f>
        <v/>
      </c>
      <c r="F170">
        <f>IF(B170=0,0,E170/B170)</f>
        <v/>
      </c>
      <c r="G170">
        <f>IF($A170="","",IFERROR(AVERAGEIFS(Orders_Log!$H:$H,Orders_Log!$C:$C,$A170,Orders_Log!$H:$H,"&gt;0"),0))</f>
        <v/>
      </c>
      <c r="H170">
        <f>IF($A170="","",COUNTIFS(Orders_Log!$C:$C,$A170,Orders_Log!$P:$P,"Returned to Picker"))</f>
        <v/>
      </c>
    </row>
    <row r="171">
      <c r="B171">
        <f>IF($A171="","",COUNTIFS(Orders_Log!$C:$C,$A171,Orders_Log!$B:$B,"&lt;&gt;"))</f>
        <v/>
      </c>
      <c r="C171">
        <f>IF($A171="","",COUNTIFS(Orders_Log!$C:$C,$A171,Orders_Log!$M:$M,"Yes"))</f>
        <v/>
      </c>
      <c r="D171" s="5">
        <f>IF(B171=0,0,C171/B171)</f>
        <v/>
      </c>
      <c r="E171">
        <f>IF($A171="","",SUMIFS(Orders_Log!$I:$I,Orders_Log!$C:$C,$A171))</f>
        <v/>
      </c>
      <c r="F171">
        <f>IF(B171=0,0,E171/B171)</f>
        <v/>
      </c>
      <c r="G171">
        <f>IF($A171="","",IFERROR(AVERAGEIFS(Orders_Log!$H:$H,Orders_Log!$C:$C,$A171,Orders_Log!$H:$H,"&gt;0"),0))</f>
        <v/>
      </c>
      <c r="H171">
        <f>IF($A171="","",COUNTIFS(Orders_Log!$C:$C,$A171,Orders_Log!$P:$P,"Returned to Picker"))</f>
        <v/>
      </c>
    </row>
    <row r="172">
      <c r="B172">
        <f>IF($A172="","",COUNTIFS(Orders_Log!$C:$C,$A172,Orders_Log!$B:$B,"&lt;&gt;"))</f>
        <v/>
      </c>
      <c r="C172">
        <f>IF($A172="","",COUNTIFS(Orders_Log!$C:$C,$A172,Orders_Log!$M:$M,"Yes"))</f>
        <v/>
      </c>
      <c r="D172" s="5">
        <f>IF(B172=0,0,C172/B172)</f>
        <v/>
      </c>
      <c r="E172">
        <f>IF($A172="","",SUMIFS(Orders_Log!$I:$I,Orders_Log!$C:$C,$A172))</f>
        <v/>
      </c>
      <c r="F172">
        <f>IF(B172=0,0,E172/B172)</f>
        <v/>
      </c>
      <c r="G172">
        <f>IF($A172="","",IFERROR(AVERAGEIFS(Orders_Log!$H:$H,Orders_Log!$C:$C,$A172,Orders_Log!$H:$H,"&gt;0"),0))</f>
        <v/>
      </c>
      <c r="H172">
        <f>IF($A172="","",COUNTIFS(Orders_Log!$C:$C,$A172,Orders_Log!$P:$P,"Returned to Picker"))</f>
        <v/>
      </c>
    </row>
    <row r="173">
      <c r="B173">
        <f>IF($A173="","",COUNTIFS(Orders_Log!$C:$C,$A173,Orders_Log!$B:$B,"&lt;&gt;"))</f>
        <v/>
      </c>
      <c r="C173">
        <f>IF($A173="","",COUNTIFS(Orders_Log!$C:$C,$A173,Orders_Log!$M:$M,"Yes"))</f>
        <v/>
      </c>
      <c r="D173" s="5">
        <f>IF(B173=0,0,C173/B173)</f>
        <v/>
      </c>
      <c r="E173">
        <f>IF($A173="","",SUMIFS(Orders_Log!$I:$I,Orders_Log!$C:$C,$A173))</f>
        <v/>
      </c>
      <c r="F173">
        <f>IF(B173=0,0,E173/B173)</f>
        <v/>
      </c>
      <c r="G173">
        <f>IF($A173="","",IFERROR(AVERAGEIFS(Orders_Log!$H:$H,Orders_Log!$C:$C,$A173,Orders_Log!$H:$H,"&gt;0"),0))</f>
        <v/>
      </c>
      <c r="H173">
        <f>IF($A173="","",COUNTIFS(Orders_Log!$C:$C,$A173,Orders_Log!$P:$P,"Returned to Picker"))</f>
        <v/>
      </c>
    </row>
    <row r="174">
      <c r="B174">
        <f>IF($A174="","",COUNTIFS(Orders_Log!$C:$C,$A174,Orders_Log!$B:$B,"&lt;&gt;"))</f>
        <v/>
      </c>
      <c r="C174">
        <f>IF($A174="","",COUNTIFS(Orders_Log!$C:$C,$A174,Orders_Log!$M:$M,"Yes"))</f>
        <v/>
      </c>
      <c r="D174" s="5">
        <f>IF(B174=0,0,C174/B174)</f>
        <v/>
      </c>
      <c r="E174">
        <f>IF($A174="","",SUMIFS(Orders_Log!$I:$I,Orders_Log!$C:$C,$A174))</f>
        <v/>
      </c>
      <c r="F174">
        <f>IF(B174=0,0,E174/B174)</f>
        <v/>
      </c>
      <c r="G174">
        <f>IF($A174="","",IFERROR(AVERAGEIFS(Orders_Log!$H:$H,Orders_Log!$C:$C,$A174,Orders_Log!$H:$H,"&gt;0"),0))</f>
        <v/>
      </c>
      <c r="H174">
        <f>IF($A174="","",COUNTIFS(Orders_Log!$C:$C,$A174,Orders_Log!$P:$P,"Returned to Picker"))</f>
        <v/>
      </c>
    </row>
    <row r="175">
      <c r="B175">
        <f>IF($A175="","",COUNTIFS(Orders_Log!$C:$C,$A175,Orders_Log!$B:$B,"&lt;&gt;"))</f>
        <v/>
      </c>
      <c r="C175">
        <f>IF($A175="","",COUNTIFS(Orders_Log!$C:$C,$A175,Orders_Log!$M:$M,"Yes"))</f>
        <v/>
      </c>
      <c r="D175" s="5">
        <f>IF(B175=0,0,C175/B175)</f>
        <v/>
      </c>
      <c r="E175">
        <f>IF($A175="","",SUMIFS(Orders_Log!$I:$I,Orders_Log!$C:$C,$A175))</f>
        <v/>
      </c>
      <c r="F175">
        <f>IF(B175=0,0,E175/B175)</f>
        <v/>
      </c>
      <c r="G175">
        <f>IF($A175="","",IFERROR(AVERAGEIFS(Orders_Log!$H:$H,Orders_Log!$C:$C,$A175,Orders_Log!$H:$H,"&gt;0"),0))</f>
        <v/>
      </c>
      <c r="H175">
        <f>IF($A175="","",COUNTIFS(Orders_Log!$C:$C,$A175,Orders_Log!$P:$P,"Returned to Picker"))</f>
        <v/>
      </c>
    </row>
    <row r="176">
      <c r="B176">
        <f>IF($A176="","",COUNTIFS(Orders_Log!$C:$C,$A176,Orders_Log!$B:$B,"&lt;&gt;"))</f>
        <v/>
      </c>
      <c r="C176">
        <f>IF($A176="","",COUNTIFS(Orders_Log!$C:$C,$A176,Orders_Log!$M:$M,"Yes"))</f>
        <v/>
      </c>
      <c r="D176" s="5">
        <f>IF(B176=0,0,C176/B176)</f>
        <v/>
      </c>
      <c r="E176">
        <f>IF($A176="","",SUMIFS(Orders_Log!$I:$I,Orders_Log!$C:$C,$A176))</f>
        <v/>
      </c>
      <c r="F176">
        <f>IF(B176=0,0,E176/B176)</f>
        <v/>
      </c>
      <c r="G176">
        <f>IF($A176="","",IFERROR(AVERAGEIFS(Orders_Log!$H:$H,Orders_Log!$C:$C,$A176,Orders_Log!$H:$H,"&gt;0"),0))</f>
        <v/>
      </c>
      <c r="H176">
        <f>IF($A176="","",COUNTIFS(Orders_Log!$C:$C,$A176,Orders_Log!$P:$P,"Returned to Picker"))</f>
        <v/>
      </c>
    </row>
    <row r="177">
      <c r="B177">
        <f>IF($A177="","",COUNTIFS(Orders_Log!$C:$C,$A177,Orders_Log!$B:$B,"&lt;&gt;"))</f>
        <v/>
      </c>
      <c r="C177">
        <f>IF($A177="","",COUNTIFS(Orders_Log!$C:$C,$A177,Orders_Log!$M:$M,"Yes"))</f>
        <v/>
      </c>
      <c r="D177" s="5">
        <f>IF(B177=0,0,C177/B177)</f>
        <v/>
      </c>
      <c r="E177">
        <f>IF($A177="","",SUMIFS(Orders_Log!$I:$I,Orders_Log!$C:$C,$A177))</f>
        <v/>
      </c>
      <c r="F177">
        <f>IF(B177=0,0,E177/B177)</f>
        <v/>
      </c>
      <c r="G177">
        <f>IF($A177="","",IFERROR(AVERAGEIFS(Orders_Log!$H:$H,Orders_Log!$C:$C,$A177,Orders_Log!$H:$H,"&gt;0"),0))</f>
        <v/>
      </c>
      <c r="H177">
        <f>IF($A177="","",COUNTIFS(Orders_Log!$C:$C,$A177,Orders_Log!$P:$P,"Returned to Picker"))</f>
        <v/>
      </c>
    </row>
    <row r="178">
      <c r="B178">
        <f>IF($A178="","",COUNTIFS(Orders_Log!$C:$C,$A178,Orders_Log!$B:$B,"&lt;&gt;"))</f>
        <v/>
      </c>
      <c r="C178">
        <f>IF($A178="","",COUNTIFS(Orders_Log!$C:$C,$A178,Orders_Log!$M:$M,"Yes"))</f>
        <v/>
      </c>
      <c r="D178" s="5">
        <f>IF(B178=0,0,C178/B178)</f>
        <v/>
      </c>
      <c r="E178">
        <f>IF($A178="","",SUMIFS(Orders_Log!$I:$I,Orders_Log!$C:$C,$A178))</f>
        <v/>
      </c>
      <c r="F178">
        <f>IF(B178=0,0,E178/B178)</f>
        <v/>
      </c>
      <c r="G178">
        <f>IF($A178="","",IFERROR(AVERAGEIFS(Orders_Log!$H:$H,Orders_Log!$C:$C,$A178,Orders_Log!$H:$H,"&gt;0"),0))</f>
        <v/>
      </c>
      <c r="H178">
        <f>IF($A178="","",COUNTIFS(Orders_Log!$C:$C,$A178,Orders_Log!$P:$P,"Returned to Picker"))</f>
        <v/>
      </c>
    </row>
    <row r="179">
      <c r="B179">
        <f>IF($A179="","",COUNTIFS(Orders_Log!$C:$C,$A179,Orders_Log!$B:$B,"&lt;&gt;"))</f>
        <v/>
      </c>
      <c r="C179">
        <f>IF($A179="","",COUNTIFS(Orders_Log!$C:$C,$A179,Orders_Log!$M:$M,"Yes"))</f>
        <v/>
      </c>
      <c r="D179" s="5">
        <f>IF(B179=0,0,C179/B179)</f>
        <v/>
      </c>
      <c r="E179">
        <f>IF($A179="","",SUMIFS(Orders_Log!$I:$I,Orders_Log!$C:$C,$A179))</f>
        <v/>
      </c>
      <c r="F179">
        <f>IF(B179=0,0,E179/B179)</f>
        <v/>
      </c>
      <c r="G179">
        <f>IF($A179="","",IFERROR(AVERAGEIFS(Orders_Log!$H:$H,Orders_Log!$C:$C,$A179,Orders_Log!$H:$H,"&gt;0"),0))</f>
        <v/>
      </c>
      <c r="H179">
        <f>IF($A179="","",COUNTIFS(Orders_Log!$C:$C,$A179,Orders_Log!$P:$P,"Returned to Picker"))</f>
        <v/>
      </c>
    </row>
    <row r="180">
      <c r="B180">
        <f>IF($A180="","",COUNTIFS(Orders_Log!$C:$C,$A180,Orders_Log!$B:$B,"&lt;&gt;"))</f>
        <v/>
      </c>
      <c r="C180">
        <f>IF($A180="","",COUNTIFS(Orders_Log!$C:$C,$A180,Orders_Log!$M:$M,"Yes"))</f>
        <v/>
      </c>
      <c r="D180" s="5">
        <f>IF(B180=0,0,C180/B180)</f>
        <v/>
      </c>
      <c r="E180">
        <f>IF($A180="","",SUMIFS(Orders_Log!$I:$I,Orders_Log!$C:$C,$A180))</f>
        <v/>
      </c>
      <c r="F180">
        <f>IF(B180=0,0,E180/B180)</f>
        <v/>
      </c>
      <c r="G180">
        <f>IF($A180="","",IFERROR(AVERAGEIFS(Orders_Log!$H:$H,Orders_Log!$C:$C,$A180,Orders_Log!$H:$H,"&gt;0"),0))</f>
        <v/>
      </c>
      <c r="H180">
        <f>IF($A180="","",COUNTIFS(Orders_Log!$C:$C,$A180,Orders_Log!$P:$P,"Returned to Picker"))</f>
        <v/>
      </c>
    </row>
    <row r="181">
      <c r="B181">
        <f>IF($A181="","",COUNTIFS(Orders_Log!$C:$C,$A181,Orders_Log!$B:$B,"&lt;&gt;"))</f>
        <v/>
      </c>
      <c r="C181">
        <f>IF($A181="","",COUNTIFS(Orders_Log!$C:$C,$A181,Orders_Log!$M:$M,"Yes"))</f>
        <v/>
      </c>
      <c r="D181" s="5">
        <f>IF(B181=0,0,C181/B181)</f>
        <v/>
      </c>
      <c r="E181">
        <f>IF($A181="","",SUMIFS(Orders_Log!$I:$I,Orders_Log!$C:$C,$A181))</f>
        <v/>
      </c>
      <c r="F181">
        <f>IF(B181=0,0,E181/B181)</f>
        <v/>
      </c>
      <c r="G181">
        <f>IF($A181="","",IFERROR(AVERAGEIFS(Orders_Log!$H:$H,Orders_Log!$C:$C,$A181,Orders_Log!$H:$H,"&gt;0"),0))</f>
        <v/>
      </c>
      <c r="H181">
        <f>IF($A181="","",COUNTIFS(Orders_Log!$C:$C,$A181,Orders_Log!$P:$P,"Returned to Picker"))</f>
        <v/>
      </c>
    </row>
    <row r="182">
      <c r="B182">
        <f>IF($A182="","",COUNTIFS(Orders_Log!$C:$C,$A182,Orders_Log!$B:$B,"&lt;&gt;"))</f>
        <v/>
      </c>
      <c r="C182">
        <f>IF($A182="","",COUNTIFS(Orders_Log!$C:$C,$A182,Orders_Log!$M:$M,"Yes"))</f>
        <v/>
      </c>
      <c r="D182" s="5">
        <f>IF(B182=0,0,C182/B182)</f>
        <v/>
      </c>
      <c r="E182">
        <f>IF($A182="","",SUMIFS(Orders_Log!$I:$I,Orders_Log!$C:$C,$A182))</f>
        <v/>
      </c>
      <c r="F182">
        <f>IF(B182=0,0,E182/B182)</f>
        <v/>
      </c>
      <c r="G182">
        <f>IF($A182="","",IFERROR(AVERAGEIFS(Orders_Log!$H:$H,Orders_Log!$C:$C,$A182,Orders_Log!$H:$H,"&gt;0"),0))</f>
        <v/>
      </c>
      <c r="H182">
        <f>IF($A182="","",COUNTIFS(Orders_Log!$C:$C,$A182,Orders_Log!$P:$P,"Returned to Picker"))</f>
        <v/>
      </c>
    </row>
    <row r="183">
      <c r="B183">
        <f>IF($A183="","",COUNTIFS(Orders_Log!$C:$C,$A183,Orders_Log!$B:$B,"&lt;&gt;"))</f>
        <v/>
      </c>
      <c r="C183">
        <f>IF($A183="","",COUNTIFS(Orders_Log!$C:$C,$A183,Orders_Log!$M:$M,"Yes"))</f>
        <v/>
      </c>
      <c r="D183" s="5">
        <f>IF(B183=0,0,C183/B183)</f>
        <v/>
      </c>
      <c r="E183">
        <f>IF($A183="","",SUMIFS(Orders_Log!$I:$I,Orders_Log!$C:$C,$A183))</f>
        <v/>
      </c>
      <c r="F183">
        <f>IF(B183=0,0,E183/B183)</f>
        <v/>
      </c>
      <c r="G183">
        <f>IF($A183="","",IFERROR(AVERAGEIFS(Orders_Log!$H:$H,Orders_Log!$C:$C,$A183,Orders_Log!$H:$H,"&gt;0"),0))</f>
        <v/>
      </c>
      <c r="H183">
        <f>IF($A183="","",COUNTIFS(Orders_Log!$C:$C,$A183,Orders_Log!$P:$P,"Returned to Picker"))</f>
        <v/>
      </c>
    </row>
    <row r="184">
      <c r="B184">
        <f>IF($A184="","",COUNTIFS(Orders_Log!$C:$C,$A184,Orders_Log!$B:$B,"&lt;&gt;"))</f>
        <v/>
      </c>
      <c r="C184">
        <f>IF($A184="","",COUNTIFS(Orders_Log!$C:$C,$A184,Orders_Log!$M:$M,"Yes"))</f>
        <v/>
      </c>
      <c r="D184" s="5">
        <f>IF(B184=0,0,C184/B184)</f>
        <v/>
      </c>
      <c r="E184">
        <f>IF($A184="","",SUMIFS(Orders_Log!$I:$I,Orders_Log!$C:$C,$A184))</f>
        <v/>
      </c>
      <c r="F184">
        <f>IF(B184=0,0,E184/B184)</f>
        <v/>
      </c>
      <c r="G184">
        <f>IF($A184="","",IFERROR(AVERAGEIFS(Orders_Log!$H:$H,Orders_Log!$C:$C,$A184,Orders_Log!$H:$H,"&gt;0"),0))</f>
        <v/>
      </c>
      <c r="H184">
        <f>IF($A184="","",COUNTIFS(Orders_Log!$C:$C,$A184,Orders_Log!$P:$P,"Returned to Picker"))</f>
        <v/>
      </c>
    </row>
    <row r="185">
      <c r="B185">
        <f>IF($A185="","",COUNTIFS(Orders_Log!$C:$C,$A185,Orders_Log!$B:$B,"&lt;&gt;"))</f>
        <v/>
      </c>
      <c r="C185">
        <f>IF($A185="","",COUNTIFS(Orders_Log!$C:$C,$A185,Orders_Log!$M:$M,"Yes"))</f>
        <v/>
      </c>
      <c r="D185" s="5">
        <f>IF(B185=0,0,C185/B185)</f>
        <v/>
      </c>
      <c r="E185">
        <f>IF($A185="","",SUMIFS(Orders_Log!$I:$I,Orders_Log!$C:$C,$A185))</f>
        <v/>
      </c>
      <c r="F185">
        <f>IF(B185=0,0,E185/B185)</f>
        <v/>
      </c>
      <c r="G185">
        <f>IF($A185="","",IFERROR(AVERAGEIFS(Orders_Log!$H:$H,Orders_Log!$C:$C,$A185,Orders_Log!$H:$H,"&gt;0"),0))</f>
        <v/>
      </c>
      <c r="H185">
        <f>IF($A185="","",COUNTIFS(Orders_Log!$C:$C,$A185,Orders_Log!$P:$P,"Returned to Picker"))</f>
        <v/>
      </c>
    </row>
    <row r="186">
      <c r="B186">
        <f>IF($A186="","",COUNTIFS(Orders_Log!$C:$C,$A186,Orders_Log!$B:$B,"&lt;&gt;"))</f>
        <v/>
      </c>
      <c r="C186">
        <f>IF($A186="","",COUNTIFS(Orders_Log!$C:$C,$A186,Orders_Log!$M:$M,"Yes"))</f>
        <v/>
      </c>
      <c r="D186" s="5">
        <f>IF(B186=0,0,C186/B186)</f>
        <v/>
      </c>
      <c r="E186">
        <f>IF($A186="","",SUMIFS(Orders_Log!$I:$I,Orders_Log!$C:$C,$A186))</f>
        <v/>
      </c>
      <c r="F186">
        <f>IF(B186=0,0,E186/B186)</f>
        <v/>
      </c>
      <c r="G186">
        <f>IF($A186="","",IFERROR(AVERAGEIFS(Orders_Log!$H:$H,Orders_Log!$C:$C,$A186,Orders_Log!$H:$H,"&gt;0"),0))</f>
        <v/>
      </c>
      <c r="H186">
        <f>IF($A186="","",COUNTIFS(Orders_Log!$C:$C,$A186,Orders_Log!$P:$P,"Returned to Picker"))</f>
        <v/>
      </c>
    </row>
    <row r="187">
      <c r="B187">
        <f>IF($A187="","",COUNTIFS(Orders_Log!$C:$C,$A187,Orders_Log!$B:$B,"&lt;&gt;"))</f>
        <v/>
      </c>
      <c r="C187">
        <f>IF($A187="","",COUNTIFS(Orders_Log!$C:$C,$A187,Orders_Log!$M:$M,"Yes"))</f>
        <v/>
      </c>
      <c r="D187" s="5">
        <f>IF(B187=0,0,C187/B187)</f>
        <v/>
      </c>
      <c r="E187">
        <f>IF($A187="","",SUMIFS(Orders_Log!$I:$I,Orders_Log!$C:$C,$A187))</f>
        <v/>
      </c>
      <c r="F187">
        <f>IF(B187=0,0,E187/B187)</f>
        <v/>
      </c>
      <c r="G187">
        <f>IF($A187="","",IFERROR(AVERAGEIFS(Orders_Log!$H:$H,Orders_Log!$C:$C,$A187,Orders_Log!$H:$H,"&gt;0"),0))</f>
        <v/>
      </c>
      <c r="H187">
        <f>IF($A187="","",COUNTIFS(Orders_Log!$C:$C,$A187,Orders_Log!$P:$P,"Returned to Picker"))</f>
        <v/>
      </c>
    </row>
    <row r="188">
      <c r="B188">
        <f>IF($A188="","",COUNTIFS(Orders_Log!$C:$C,$A188,Orders_Log!$B:$B,"&lt;&gt;"))</f>
        <v/>
      </c>
      <c r="C188">
        <f>IF($A188="","",COUNTIFS(Orders_Log!$C:$C,$A188,Orders_Log!$M:$M,"Yes"))</f>
        <v/>
      </c>
      <c r="D188" s="5">
        <f>IF(B188=0,0,C188/B188)</f>
        <v/>
      </c>
      <c r="E188">
        <f>IF($A188="","",SUMIFS(Orders_Log!$I:$I,Orders_Log!$C:$C,$A188))</f>
        <v/>
      </c>
      <c r="F188">
        <f>IF(B188=0,0,E188/B188)</f>
        <v/>
      </c>
      <c r="G188">
        <f>IF($A188="","",IFERROR(AVERAGEIFS(Orders_Log!$H:$H,Orders_Log!$C:$C,$A188,Orders_Log!$H:$H,"&gt;0"),0))</f>
        <v/>
      </c>
      <c r="H188">
        <f>IF($A188="","",COUNTIFS(Orders_Log!$C:$C,$A188,Orders_Log!$P:$P,"Returned to Picker"))</f>
        <v/>
      </c>
    </row>
    <row r="189">
      <c r="B189">
        <f>IF($A189="","",COUNTIFS(Orders_Log!$C:$C,$A189,Orders_Log!$B:$B,"&lt;&gt;"))</f>
        <v/>
      </c>
      <c r="C189">
        <f>IF($A189="","",COUNTIFS(Orders_Log!$C:$C,$A189,Orders_Log!$M:$M,"Yes"))</f>
        <v/>
      </c>
      <c r="D189" s="5">
        <f>IF(B189=0,0,C189/B189)</f>
        <v/>
      </c>
      <c r="E189">
        <f>IF($A189="","",SUMIFS(Orders_Log!$I:$I,Orders_Log!$C:$C,$A189))</f>
        <v/>
      </c>
      <c r="F189">
        <f>IF(B189=0,0,E189/B189)</f>
        <v/>
      </c>
      <c r="G189">
        <f>IF($A189="","",IFERROR(AVERAGEIFS(Orders_Log!$H:$H,Orders_Log!$C:$C,$A189,Orders_Log!$H:$H,"&gt;0"),0))</f>
        <v/>
      </c>
      <c r="H189">
        <f>IF($A189="","",COUNTIFS(Orders_Log!$C:$C,$A189,Orders_Log!$P:$P,"Returned to Picker"))</f>
        <v/>
      </c>
    </row>
    <row r="190">
      <c r="B190">
        <f>IF($A190="","",COUNTIFS(Orders_Log!$C:$C,$A190,Orders_Log!$B:$B,"&lt;&gt;"))</f>
        <v/>
      </c>
      <c r="C190">
        <f>IF($A190="","",COUNTIFS(Orders_Log!$C:$C,$A190,Orders_Log!$M:$M,"Yes"))</f>
        <v/>
      </c>
      <c r="D190" s="5">
        <f>IF(B190=0,0,C190/B190)</f>
        <v/>
      </c>
      <c r="E190">
        <f>IF($A190="","",SUMIFS(Orders_Log!$I:$I,Orders_Log!$C:$C,$A190))</f>
        <v/>
      </c>
      <c r="F190">
        <f>IF(B190=0,0,E190/B190)</f>
        <v/>
      </c>
      <c r="G190">
        <f>IF($A190="","",IFERROR(AVERAGEIFS(Orders_Log!$H:$H,Orders_Log!$C:$C,$A190,Orders_Log!$H:$H,"&gt;0"),0))</f>
        <v/>
      </c>
      <c r="H190">
        <f>IF($A190="","",COUNTIFS(Orders_Log!$C:$C,$A190,Orders_Log!$P:$P,"Returned to Picker"))</f>
        <v/>
      </c>
    </row>
    <row r="191">
      <c r="B191">
        <f>IF($A191="","",COUNTIFS(Orders_Log!$C:$C,$A191,Orders_Log!$B:$B,"&lt;&gt;"))</f>
        <v/>
      </c>
      <c r="C191">
        <f>IF($A191="","",COUNTIFS(Orders_Log!$C:$C,$A191,Orders_Log!$M:$M,"Yes"))</f>
        <v/>
      </c>
      <c r="D191" s="5">
        <f>IF(B191=0,0,C191/B191)</f>
        <v/>
      </c>
      <c r="E191">
        <f>IF($A191="","",SUMIFS(Orders_Log!$I:$I,Orders_Log!$C:$C,$A191))</f>
        <v/>
      </c>
      <c r="F191">
        <f>IF(B191=0,0,E191/B191)</f>
        <v/>
      </c>
      <c r="G191">
        <f>IF($A191="","",IFERROR(AVERAGEIFS(Orders_Log!$H:$H,Orders_Log!$C:$C,$A191,Orders_Log!$H:$H,"&gt;0"),0))</f>
        <v/>
      </c>
      <c r="H191">
        <f>IF($A191="","",COUNTIFS(Orders_Log!$C:$C,$A191,Orders_Log!$P:$P,"Returned to Picker"))</f>
        <v/>
      </c>
    </row>
    <row r="192">
      <c r="B192">
        <f>IF($A192="","",COUNTIFS(Orders_Log!$C:$C,$A192,Orders_Log!$B:$B,"&lt;&gt;"))</f>
        <v/>
      </c>
      <c r="C192">
        <f>IF($A192="","",COUNTIFS(Orders_Log!$C:$C,$A192,Orders_Log!$M:$M,"Yes"))</f>
        <v/>
      </c>
      <c r="D192" s="5">
        <f>IF(B192=0,0,C192/B192)</f>
        <v/>
      </c>
      <c r="E192">
        <f>IF($A192="","",SUMIFS(Orders_Log!$I:$I,Orders_Log!$C:$C,$A192))</f>
        <v/>
      </c>
      <c r="F192">
        <f>IF(B192=0,0,E192/B192)</f>
        <v/>
      </c>
      <c r="G192">
        <f>IF($A192="","",IFERROR(AVERAGEIFS(Orders_Log!$H:$H,Orders_Log!$C:$C,$A192,Orders_Log!$H:$H,"&gt;0"),0))</f>
        <v/>
      </c>
      <c r="H192">
        <f>IF($A192="","",COUNTIFS(Orders_Log!$C:$C,$A192,Orders_Log!$P:$P,"Returned to Picker"))</f>
        <v/>
      </c>
    </row>
    <row r="193">
      <c r="B193">
        <f>IF($A193="","",COUNTIFS(Orders_Log!$C:$C,$A193,Orders_Log!$B:$B,"&lt;&gt;"))</f>
        <v/>
      </c>
      <c r="C193">
        <f>IF($A193="","",COUNTIFS(Orders_Log!$C:$C,$A193,Orders_Log!$M:$M,"Yes"))</f>
        <v/>
      </c>
      <c r="D193" s="5">
        <f>IF(B193=0,0,C193/B193)</f>
        <v/>
      </c>
      <c r="E193">
        <f>IF($A193="","",SUMIFS(Orders_Log!$I:$I,Orders_Log!$C:$C,$A193))</f>
        <v/>
      </c>
      <c r="F193">
        <f>IF(B193=0,0,E193/B193)</f>
        <v/>
      </c>
      <c r="G193">
        <f>IF($A193="","",IFERROR(AVERAGEIFS(Orders_Log!$H:$H,Orders_Log!$C:$C,$A193,Orders_Log!$H:$H,"&gt;0"),0))</f>
        <v/>
      </c>
      <c r="H193">
        <f>IF($A193="","",COUNTIFS(Orders_Log!$C:$C,$A193,Orders_Log!$P:$P,"Returned to Picker"))</f>
        <v/>
      </c>
    </row>
    <row r="194">
      <c r="B194">
        <f>IF($A194="","",COUNTIFS(Orders_Log!$C:$C,$A194,Orders_Log!$B:$B,"&lt;&gt;"))</f>
        <v/>
      </c>
      <c r="C194">
        <f>IF($A194="","",COUNTIFS(Orders_Log!$C:$C,$A194,Orders_Log!$M:$M,"Yes"))</f>
        <v/>
      </c>
      <c r="D194" s="5">
        <f>IF(B194=0,0,C194/B194)</f>
        <v/>
      </c>
      <c r="E194">
        <f>IF($A194="","",SUMIFS(Orders_Log!$I:$I,Orders_Log!$C:$C,$A194))</f>
        <v/>
      </c>
      <c r="F194">
        <f>IF(B194=0,0,E194/B194)</f>
        <v/>
      </c>
      <c r="G194">
        <f>IF($A194="","",IFERROR(AVERAGEIFS(Orders_Log!$H:$H,Orders_Log!$C:$C,$A194,Orders_Log!$H:$H,"&gt;0"),0))</f>
        <v/>
      </c>
      <c r="H194">
        <f>IF($A194="","",COUNTIFS(Orders_Log!$C:$C,$A194,Orders_Log!$P:$P,"Returned to Picker"))</f>
        <v/>
      </c>
    </row>
    <row r="195">
      <c r="B195">
        <f>IF($A195="","",COUNTIFS(Orders_Log!$C:$C,$A195,Orders_Log!$B:$B,"&lt;&gt;"))</f>
        <v/>
      </c>
      <c r="C195">
        <f>IF($A195="","",COUNTIFS(Orders_Log!$C:$C,$A195,Orders_Log!$M:$M,"Yes"))</f>
        <v/>
      </c>
      <c r="D195" s="5">
        <f>IF(B195=0,0,C195/B195)</f>
        <v/>
      </c>
      <c r="E195">
        <f>IF($A195="","",SUMIFS(Orders_Log!$I:$I,Orders_Log!$C:$C,$A195))</f>
        <v/>
      </c>
      <c r="F195">
        <f>IF(B195=0,0,E195/B195)</f>
        <v/>
      </c>
      <c r="G195">
        <f>IF($A195="","",IFERROR(AVERAGEIFS(Orders_Log!$H:$H,Orders_Log!$C:$C,$A195,Orders_Log!$H:$H,"&gt;0"),0))</f>
        <v/>
      </c>
      <c r="H195">
        <f>IF($A195="","",COUNTIFS(Orders_Log!$C:$C,$A195,Orders_Log!$P:$P,"Returned to Picker"))</f>
        <v/>
      </c>
    </row>
    <row r="196">
      <c r="B196">
        <f>IF($A196="","",COUNTIFS(Orders_Log!$C:$C,$A196,Orders_Log!$B:$B,"&lt;&gt;"))</f>
        <v/>
      </c>
      <c r="C196">
        <f>IF($A196="","",COUNTIFS(Orders_Log!$C:$C,$A196,Orders_Log!$M:$M,"Yes"))</f>
        <v/>
      </c>
      <c r="D196" s="5">
        <f>IF(B196=0,0,C196/B196)</f>
        <v/>
      </c>
      <c r="E196">
        <f>IF($A196="","",SUMIFS(Orders_Log!$I:$I,Orders_Log!$C:$C,$A196))</f>
        <v/>
      </c>
      <c r="F196">
        <f>IF(B196=0,0,E196/B196)</f>
        <v/>
      </c>
      <c r="G196">
        <f>IF($A196="","",IFERROR(AVERAGEIFS(Orders_Log!$H:$H,Orders_Log!$C:$C,$A196,Orders_Log!$H:$H,"&gt;0"),0))</f>
        <v/>
      </c>
      <c r="H196">
        <f>IF($A196="","",COUNTIFS(Orders_Log!$C:$C,$A196,Orders_Log!$P:$P,"Returned to Picker"))</f>
        <v/>
      </c>
    </row>
    <row r="197">
      <c r="B197">
        <f>IF($A197="","",COUNTIFS(Orders_Log!$C:$C,$A197,Orders_Log!$B:$B,"&lt;&gt;"))</f>
        <v/>
      </c>
      <c r="C197">
        <f>IF($A197="","",COUNTIFS(Orders_Log!$C:$C,$A197,Orders_Log!$M:$M,"Yes"))</f>
        <v/>
      </c>
      <c r="D197" s="5">
        <f>IF(B197=0,0,C197/B197)</f>
        <v/>
      </c>
      <c r="E197">
        <f>IF($A197="","",SUMIFS(Orders_Log!$I:$I,Orders_Log!$C:$C,$A197))</f>
        <v/>
      </c>
      <c r="F197">
        <f>IF(B197=0,0,E197/B197)</f>
        <v/>
      </c>
      <c r="G197">
        <f>IF($A197="","",IFERROR(AVERAGEIFS(Orders_Log!$H:$H,Orders_Log!$C:$C,$A197,Orders_Log!$H:$H,"&gt;0"),0))</f>
        <v/>
      </c>
      <c r="H197">
        <f>IF($A197="","",COUNTIFS(Orders_Log!$C:$C,$A197,Orders_Log!$P:$P,"Returned to Picker"))</f>
        <v/>
      </c>
    </row>
    <row r="198">
      <c r="B198">
        <f>IF($A198="","",COUNTIFS(Orders_Log!$C:$C,$A198,Orders_Log!$B:$B,"&lt;&gt;"))</f>
        <v/>
      </c>
      <c r="C198">
        <f>IF($A198="","",COUNTIFS(Orders_Log!$C:$C,$A198,Orders_Log!$M:$M,"Yes"))</f>
        <v/>
      </c>
      <c r="D198" s="5">
        <f>IF(B198=0,0,C198/B198)</f>
        <v/>
      </c>
      <c r="E198">
        <f>IF($A198="","",SUMIFS(Orders_Log!$I:$I,Orders_Log!$C:$C,$A198))</f>
        <v/>
      </c>
      <c r="F198">
        <f>IF(B198=0,0,E198/B198)</f>
        <v/>
      </c>
      <c r="G198">
        <f>IF($A198="","",IFERROR(AVERAGEIFS(Orders_Log!$H:$H,Orders_Log!$C:$C,$A198,Orders_Log!$H:$H,"&gt;0"),0))</f>
        <v/>
      </c>
      <c r="H198">
        <f>IF($A198="","",COUNTIFS(Orders_Log!$C:$C,$A198,Orders_Log!$P:$P,"Returned to Picker"))</f>
        <v/>
      </c>
    </row>
    <row r="199">
      <c r="B199">
        <f>IF($A199="","",COUNTIFS(Orders_Log!$C:$C,$A199,Orders_Log!$B:$B,"&lt;&gt;"))</f>
        <v/>
      </c>
      <c r="C199">
        <f>IF($A199="","",COUNTIFS(Orders_Log!$C:$C,$A199,Orders_Log!$M:$M,"Yes"))</f>
        <v/>
      </c>
      <c r="D199" s="5">
        <f>IF(B199=0,0,C199/B199)</f>
        <v/>
      </c>
      <c r="E199">
        <f>IF($A199="","",SUMIFS(Orders_Log!$I:$I,Orders_Log!$C:$C,$A199))</f>
        <v/>
      </c>
      <c r="F199">
        <f>IF(B199=0,0,E199/B199)</f>
        <v/>
      </c>
      <c r="G199">
        <f>IF($A199="","",IFERROR(AVERAGEIFS(Orders_Log!$H:$H,Orders_Log!$C:$C,$A199,Orders_Log!$H:$H,"&gt;0"),0))</f>
        <v/>
      </c>
      <c r="H199">
        <f>IF($A199="","",COUNTIFS(Orders_Log!$C:$C,$A199,Orders_Log!$P:$P,"Returned to Picker"))</f>
        <v/>
      </c>
    </row>
    <row r="200">
      <c r="B200">
        <f>IF($A200="","",COUNTIFS(Orders_Log!$C:$C,$A200,Orders_Log!$B:$B,"&lt;&gt;"))</f>
        <v/>
      </c>
      <c r="C200">
        <f>IF($A200="","",COUNTIFS(Orders_Log!$C:$C,$A200,Orders_Log!$M:$M,"Yes"))</f>
        <v/>
      </c>
      <c r="D200" s="5">
        <f>IF(B200=0,0,C200/B200)</f>
        <v/>
      </c>
      <c r="E200">
        <f>IF($A200="","",SUMIFS(Orders_Log!$I:$I,Orders_Log!$C:$C,$A200))</f>
        <v/>
      </c>
      <c r="F200">
        <f>IF(B200=0,0,E200/B200)</f>
        <v/>
      </c>
      <c r="G200">
        <f>IF($A200="","",IFERROR(AVERAGEIFS(Orders_Log!$H:$H,Orders_Log!$C:$C,$A200,Orders_Log!$H:$H,"&gt;0"),0))</f>
        <v/>
      </c>
      <c r="H200">
        <f>IF($A200="","",COUNTIFS(Orders_Log!$C:$C,$A200,Orders_Log!$P:$P,"Returned to Picker"))</f>
        <v/>
      </c>
    </row>
    <row r="201">
      <c r="B201">
        <f>IF($A201="","",COUNTIFS(Orders_Log!$C:$C,$A201,Orders_Log!$B:$B,"&lt;&gt;"))</f>
        <v/>
      </c>
      <c r="C201">
        <f>IF($A201="","",COUNTIFS(Orders_Log!$C:$C,$A201,Orders_Log!$M:$M,"Yes"))</f>
        <v/>
      </c>
      <c r="D201" s="5">
        <f>IF(B201=0,0,C201/B201)</f>
        <v/>
      </c>
      <c r="E201">
        <f>IF($A201="","",SUMIFS(Orders_Log!$I:$I,Orders_Log!$C:$C,$A201))</f>
        <v/>
      </c>
      <c r="F201">
        <f>IF(B201=0,0,E201/B201)</f>
        <v/>
      </c>
      <c r="G201">
        <f>IF($A201="","",IFERROR(AVERAGEIFS(Orders_Log!$H:$H,Orders_Log!$C:$C,$A201,Orders_Log!$H:$H,"&gt;0"),0))</f>
        <v/>
      </c>
      <c r="H201">
        <f>IF($A201="","",COUNTIFS(Orders_Log!$C:$C,$A201,Orders_Log!$P:$P,"Returned to Picker"))</f>
        <v/>
      </c>
    </row>
    <row r="202">
      <c r="B202">
        <f>IF($A202="","",COUNTIFS(Orders_Log!$C:$C,$A202,Orders_Log!$B:$B,"&lt;&gt;"))</f>
        <v/>
      </c>
      <c r="C202">
        <f>IF($A202="","",COUNTIFS(Orders_Log!$C:$C,$A202,Orders_Log!$M:$M,"Yes"))</f>
        <v/>
      </c>
      <c r="D202" s="5">
        <f>IF(B202=0,0,C202/B202)</f>
        <v/>
      </c>
      <c r="E202">
        <f>IF($A202="","",SUMIFS(Orders_Log!$I:$I,Orders_Log!$C:$C,$A202))</f>
        <v/>
      </c>
      <c r="F202">
        <f>IF(B202=0,0,E202/B202)</f>
        <v/>
      </c>
      <c r="G202">
        <f>IF($A202="","",IFERROR(AVERAGEIFS(Orders_Log!$H:$H,Orders_Log!$C:$C,$A202,Orders_Log!$H:$H,"&gt;0"),0))</f>
        <v/>
      </c>
      <c r="H202">
        <f>IF($A202="","",COUNTIFS(Orders_Log!$C:$C,$A202,Orders_Log!$P:$P,"Returned to Picker"))</f>
        <v/>
      </c>
    </row>
    <row r="203">
      <c r="B203">
        <f>IF($A203="","",COUNTIFS(Orders_Log!$C:$C,$A203,Orders_Log!$B:$B,"&lt;&gt;"))</f>
        <v/>
      </c>
      <c r="C203">
        <f>IF($A203="","",COUNTIFS(Orders_Log!$C:$C,$A203,Orders_Log!$M:$M,"Yes"))</f>
        <v/>
      </c>
      <c r="D203" s="5">
        <f>IF(B203=0,0,C203/B203)</f>
        <v/>
      </c>
      <c r="E203">
        <f>IF($A203="","",SUMIFS(Orders_Log!$I:$I,Orders_Log!$C:$C,$A203))</f>
        <v/>
      </c>
      <c r="F203">
        <f>IF(B203=0,0,E203/B203)</f>
        <v/>
      </c>
      <c r="G203">
        <f>IF($A203="","",IFERROR(AVERAGEIFS(Orders_Log!$H:$H,Orders_Log!$C:$C,$A203,Orders_Log!$H:$H,"&gt;0"),0))</f>
        <v/>
      </c>
      <c r="H203">
        <f>IF($A203="","",COUNTIFS(Orders_Log!$C:$C,$A203,Orders_Log!$P:$P,"Returned to Picker"))</f>
        <v/>
      </c>
    </row>
    <row r="204">
      <c r="B204">
        <f>IF($A204="","",COUNTIFS(Orders_Log!$C:$C,$A204,Orders_Log!$B:$B,"&lt;&gt;"))</f>
        <v/>
      </c>
      <c r="C204">
        <f>IF($A204="","",COUNTIFS(Orders_Log!$C:$C,$A204,Orders_Log!$M:$M,"Yes"))</f>
        <v/>
      </c>
      <c r="D204" s="5">
        <f>IF(B204=0,0,C204/B204)</f>
        <v/>
      </c>
      <c r="E204">
        <f>IF($A204="","",SUMIFS(Orders_Log!$I:$I,Orders_Log!$C:$C,$A204))</f>
        <v/>
      </c>
      <c r="F204">
        <f>IF(B204=0,0,E204/B204)</f>
        <v/>
      </c>
      <c r="G204">
        <f>IF($A204="","",IFERROR(AVERAGEIFS(Orders_Log!$H:$H,Orders_Log!$C:$C,$A204,Orders_Log!$H:$H,"&gt;0"),0))</f>
        <v/>
      </c>
      <c r="H204">
        <f>IF($A204="","",COUNTIFS(Orders_Log!$C:$C,$A204,Orders_Log!$P:$P,"Returned to Picker"))</f>
        <v/>
      </c>
    </row>
    <row r="205">
      <c r="B205">
        <f>IF($A205="","",COUNTIFS(Orders_Log!$C:$C,$A205,Orders_Log!$B:$B,"&lt;&gt;"))</f>
        <v/>
      </c>
      <c r="C205">
        <f>IF($A205="","",COUNTIFS(Orders_Log!$C:$C,$A205,Orders_Log!$M:$M,"Yes"))</f>
        <v/>
      </c>
      <c r="D205" s="5">
        <f>IF(B205=0,0,C205/B205)</f>
        <v/>
      </c>
      <c r="E205">
        <f>IF($A205="","",SUMIFS(Orders_Log!$I:$I,Orders_Log!$C:$C,$A205))</f>
        <v/>
      </c>
      <c r="F205">
        <f>IF(B205=0,0,E205/B205)</f>
        <v/>
      </c>
      <c r="G205">
        <f>IF($A205="","",IFERROR(AVERAGEIFS(Orders_Log!$H:$H,Orders_Log!$C:$C,$A205,Orders_Log!$H:$H,"&gt;0"),0))</f>
        <v/>
      </c>
      <c r="H205">
        <f>IF($A205="","",COUNTIFS(Orders_Log!$C:$C,$A205,Orders_Log!$P:$P,"Returned to Picker"))</f>
        <v/>
      </c>
    </row>
    <row r="206">
      <c r="B206">
        <f>IF($A206="","",COUNTIFS(Orders_Log!$C:$C,$A206,Orders_Log!$B:$B,"&lt;&gt;"))</f>
        <v/>
      </c>
      <c r="C206">
        <f>IF($A206="","",COUNTIFS(Orders_Log!$C:$C,$A206,Orders_Log!$M:$M,"Yes"))</f>
        <v/>
      </c>
      <c r="D206" s="5">
        <f>IF(B206=0,0,C206/B206)</f>
        <v/>
      </c>
      <c r="E206">
        <f>IF($A206="","",SUMIFS(Orders_Log!$I:$I,Orders_Log!$C:$C,$A206))</f>
        <v/>
      </c>
      <c r="F206">
        <f>IF(B206=0,0,E206/B206)</f>
        <v/>
      </c>
      <c r="G206">
        <f>IF($A206="","",IFERROR(AVERAGEIFS(Orders_Log!$H:$H,Orders_Log!$C:$C,$A206,Orders_Log!$H:$H,"&gt;0"),0))</f>
        <v/>
      </c>
      <c r="H206">
        <f>IF($A206="","",COUNTIFS(Orders_Log!$C:$C,$A206,Orders_Log!$P:$P,"Returned to Picker"))</f>
        <v/>
      </c>
    </row>
    <row r="207">
      <c r="B207">
        <f>IF($A207="","",COUNTIFS(Orders_Log!$C:$C,$A207,Orders_Log!$B:$B,"&lt;&gt;"))</f>
        <v/>
      </c>
      <c r="C207">
        <f>IF($A207="","",COUNTIFS(Orders_Log!$C:$C,$A207,Orders_Log!$M:$M,"Yes"))</f>
        <v/>
      </c>
      <c r="D207" s="5">
        <f>IF(B207=0,0,C207/B207)</f>
        <v/>
      </c>
      <c r="E207">
        <f>IF($A207="","",SUMIFS(Orders_Log!$I:$I,Orders_Log!$C:$C,$A207))</f>
        <v/>
      </c>
      <c r="F207">
        <f>IF(B207=0,0,E207/B207)</f>
        <v/>
      </c>
      <c r="G207">
        <f>IF($A207="","",IFERROR(AVERAGEIFS(Orders_Log!$H:$H,Orders_Log!$C:$C,$A207,Orders_Log!$H:$H,"&gt;0"),0))</f>
        <v/>
      </c>
      <c r="H207">
        <f>IF($A207="","",COUNTIFS(Orders_Log!$C:$C,$A207,Orders_Log!$P:$P,"Returned to Picker"))</f>
        <v/>
      </c>
    </row>
    <row r="208">
      <c r="B208">
        <f>IF($A208="","",COUNTIFS(Orders_Log!$C:$C,$A208,Orders_Log!$B:$B,"&lt;&gt;"))</f>
        <v/>
      </c>
      <c r="C208">
        <f>IF($A208="","",COUNTIFS(Orders_Log!$C:$C,$A208,Orders_Log!$M:$M,"Yes"))</f>
        <v/>
      </c>
      <c r="D208" s="5">
        <f>IF(B208=0,0,C208/B208)</f>
        <v/>
      </c>
      <c r="E208">
        <f>IF($A208="","",SUMIFS(Orders_Log!$I:$I,Orders_Log!$C:$C,$A208))</f>
        <v/>
      </c>
      <c r="F208">
        <f>IF(B208=0,0,E208/B208)</f>
        <v/>
      </c>
      <c r="G208">
        <f>IF($A208="","",IFERROR(AVERAGEIFS(Orders_Log!$H:$H,Orders_Log!$C:$C,$A208,Orders_Log!$H:$H,"&gt;0"),0))</f>
        <v/>
      </c>
      <c r="H208">
        <f>IF($A208="","",COUNTIFS(Orders_Log!$C:$C,$A208,Orders_Log!$P:$P,"Returned to Picker"))</f>
        <v/>
      </c>
    </row>
    <row r="209">
      <c r="B209">
        <f>IF($A209="","",COUNTIFS(Orders_Log!$C:$C,$A209,Orders_Log!$B:$B,"&lt;&gt;"))</f>
        <v/>
      </c>
      <c r="C209">
        <f>IF($A209="","",COUNTIFS(Orders_Log!$C:$C,$A209,Orders_Log!$M:$M,"Yes"))</f>
        <v/>
      </c>
      <c r="D209" s="5">
        <f>IF(B209=0,0,C209/B209)</f>
        <v/>
      </c>
      <c r="E209">
        <f>IF($A209="","",SUMIFS(Orders_Log!$I:$I,Orders_Log!$C:$C,$A209))</f>
        <v/>
      </c>
      <c r="F209">
        <f>IF(B209=0,0,E209/B209)</f>
        <v/>
      </c>
      <c r="G209">
        <f>IF($A209="","",IFERROR(AVERAGEIFS(Orders_Log!$H:$H,Orders_Log!$C:$C,$A209,Orders_Log!$H:$H,"&gt;0"),0))</f>
        <v/>
      </c>
      <c r="H209">
        <f>IF($A209="","",COUNTIFS(Orders_Log!$C:$C,$A209,Orders_Log!$P:$P,"Returned to Picker"))</f>
        <v/>
      </c>
    </row>
    <row r="210">
      <c r="B210">
        <f>IF($A210="","",COUNTIFS(Orders_Log!$C:$C,$A210,Orders_Log!$B:$B,"&lt;&gt;"))</f>
        <v/>
      </c>
      <c r="C210">
        <f>IF($A210="","",COUNTIFS(Orders_Log!$C:$C,$A210,Orders_Log!$M:$M,"Yes"))</f>
        <v/>
      </c>
      <c r="D210" s="5">
        <f>IF(B210=0,0,C210/B210)</f>
        <v/>
      </c>
      <c r="E210">
        <f>IF($A210="","",SUMIFS(Orders_Log!$I:$I,Orders_Log!$C:$C,$A210))</f>
        <v/>
      </c>
      <c r="F210">
        <f>IF(B210=0,0,E210/B210)</f>
        <v/>
      </c>
      <c r="G210">
        <f>IF($A210="","",IFERROR(AVERAGEIFS(Orders_Log!$H:$H,Orders_Log!$C:$C,$A210,Orders_Log!$H:$H,"&gt;0"),0))</f>
        <v/>
      </c>
      <c r="H210">
        <f>IF($A210="","",COUNTIFS(Orders_Log!$C:$C,$A210,Orders_Log!$P:$P,"Returned to Picker"))</f>
        <v/>
      </c>
    </row>
    <row r="211">
      <c r="B211">
        <f>IF($A211="","",COUNTIFS(Orders_Log!$C:$C,$A211,Orders_Log!$B:$B,"&lt;&gt;"))</f>
        <v/>
      </c>
      <c r="C211">
        <f>IF($A211="","",COUNTIFS(Orders_Log!$C:$C,$A211,Orders_Log!$M:$M,"Yes"))</f>
        <v/>
      </c>
      <c r="D211" s="5">
        <f>IF(B211=0,0,C211/B211)</f>
        <v/>
      </c>
      <c r="E211">
        <f>IF($A211="","",SUMIFS(Orders_Log!$I:$I,Orders_Log!$C:$C,$A211))</f>
        <v/>
      </c>
      <c r="F211">
        <f>IF(B211=0,0,E211/B211)</f>
        <v/>
      </c>
      <c r="G211">
        <f>IF($A211="","",IFERROR(AVERAGEIFS(Orders_Log!$H:$H,Orders_Log!$C:$C,$A211,Orders_Log!$H:$H,"&gt;0"),0))</f>
        <v/>
      </c>
      <c r="H211">
        <f>IF($A211="","",COUNTIFS(Orders_Log!$C:$C,$A211,Orders_Log!$P:$P,"Returned to Picker"))</f>
        <v/>
      </c>
    </row>
    <row r="212">
      <c r="B212">
        <f>IF($A212="","",COUNTIFS(Orders_Log!$C:$C,$A212,Orders_Log!$B:$B,"&lt;&gt;"))</f>
        <v/>
      </c>
      <c r="C212">
        <f>IF($A212="","",COUNTIFS(Orders_Log!$C:$C,$A212,Orders_Log!$M:$M,"Yes"))</f>
        <v/>
      </c>
      <c r="D212" s="5">
        <f>IF(B212=0,0,C212/B212)</f>
        <v/>
      </c>
      <c r="E212">
        <f>IF($A212="","",SUMIFS(Orders_Log!$I:$I,Orders_Log!$C:$C,$A212))</f>
        <v/>
      </c>
      <c r="F212">
        <f>IF(B212=0,0,E212/B212)</f>
        <v/>
      </c>
      <c r="G212">
        <f>IF($A212="","",IFERROR(AVERAGEIFS(Orders_Log!$H:$H,Orders_Log!$C:$C,$A212,Orders_Log!$H:$H,"&gt;0"),0))</f>
        <v/>
      </c>
      <c r="H212">
        <f>IF($A212="","",COUNTIFS(Orders_Log!$C:$C,$A212,Orders_Log!$P:$P,"Returned to Picker"))</f>
        <v/>
      </c>
    </row>
    <row r="213">
      <c r="B213">
        <f>IF($A213="","",COUNTIFS(Orders_Log!$C:$C,$A213,Orders_Log!$B:$B,"&lt;&gt;"))</f>
        <v/>
      </c>
      <c r="C213">
        <f>IF($A213="","",COUNTIFS(Orders_Log!$C:$C,$A213,Orders_Log!$M:$M,"Yes"))</f>
        <v/>
      </c>
      <c r="D213" s="5">
        <f>IF(B213=0,0,C213/B213)</f>
        <v/>
      </c>
      <c r="E213">
        <f>IF($A213="","",SUMIFS(Orders_Log!$I:$I,Orders_Log!$C:$C,$A213))</f>
        <v/>
      </c>
      <c r="F213">
        <f>IF(B213=0,0,E213/B213)</f>
        <v/>
      </c>
      <c r="G213">
        <f>IF($A213="","",IFERROR(AVERAGEIFS(Orders_Log!$H:$H,Orders_Log!$C:$C,$A213,Orders_Log!$H:$H,"&gt;0"),0))</f>
        <v/>
      </c>
      <c r="H213">
        <f>IF($A213="","",COUNTIFS(Orders_Log!$C:$C,$A213,Orders_Log!$P:$P,"Returned to Picker"))</f>
        <v/>
      </c>
    </row>
    <row r="214">
      <c r="B214">
        <f>IF($A214="","",COUNTIFS(Orders_Log!$C:$C,$A214,Orders_Log!$B:$B,"&lt;&gt;"))</f>
        <v/>
      </c>
      <c r="C214">
        <f>IF($A214="","",COUNTIFS(Orders_Log!$C:$C,$A214,Orders_Log!$M:$M,"Yes"))</f>
        <v/>
      </c>
      <c r="D214" s="5">
        <f>IF(B214=0,0,C214/B214)</f>
        <v/>
      </c>
      <c r="E214">
        <f>IF($A214="","",SUMIFS(Orders_Log!$I:$I,Orders_Log!$C:$C,$A214))</f>
        <v/>
      </c>
      <c r="F214">
        <f>IF(B214=0,0,E214/B214)</f>
        <v/>
      </c>
      <c r="G214">
        <f>IF($A214="","",IFERROR(AVERAGEIFS(Orders_Log!$H:$H,Orders_Log!$C:$C,$A214,Orders_Log!$H:$H,"&gt;0"),0))</f>
        <v/>
      </c>
      <c r="H214">
        <f>IF($A214="","",COUNTIFS(Orders_Log!$C:$C,$A214,Orders_Log!$P:$P,"Returned to Picker"))</f>
        <v/>
      </c>
    </row>
    <row r="215">
      <c r="B215">
        <f>IF($A215="","",COUNTIFS(Orders_Log!$C:$C,$A215,Orders_Log!$B:$B,"&lt;&gt;"))</f>
        <v/>
      </c>
      <c r="C215">
        <f>IF($A215="","",COUNTIFS(Orders_Log!$C:$C,$A215,Orders_Log!$M:$M,"Yes"))</f>
        <v/>
      </c>
      <c r="D215" s="5">
        <f>IF(B215=0,0,C215/B215)</f>
        <v/>
      </c>
      <c r="E215">
        <f>IF($A215="","",SUMIFS(Orders_Log!$I:$I,Orders_Log!$C:$C,$A215))</f>
        <v/>
      </c>
      <c r="F215">
        <f>IF(B215=0,0,E215/B215)</f>
        <v/>
      </c>
      <c r="G215">
        <f>IF($A215="","",IFERROR(AVERAGEIFS(Orders_Log!$H:$H,Orders_Log!$C:$C,$A215,Orders_Log!$H:$H,"&gt;0"),0))</f>
        <v/>
      </c>
      <c r="H215">
        <f>IF($A215="","",COUNTIFS(Orders_Log!$C:$C,$A215,Orders_Log!$P:$P,"Returned to Picker"))</f>
        <v/>
      </c>
    </row>
    <row r="216">
      <c r="B216">
        <f>IF($A216="","",COUNTIFS(Orders_Log!$C:$C,$A216,Orders_Log!$B:$B,"&lt;&gt;"))</f>
        <v/>
      </c>
      <c r="C216">
        <f>IF($A216="","",COUNTIFS(Orders_Log!$C:$C,$A216,Orders_Log!$M:$M,"Yes"))</f>
        <v/>
      </c>
      <c r="D216" s="5">
        <f>IF(B216=0,0,C216/B216)</f>
        <v/>
      </c>
      <c r="E216">
        <f>IF($A216="","",SUMIFS(Orders_Log!$I:$I,Orders_Log!$C:$C,$A216))</f>
        <v/>
      </c>
      <c r="F216">
        <f>IF(B216=0,0,E216/B216)</f>
        <v/>
      </c>
      <c r="G216">
        <f>IF($A216="","",IFERROR(AVERAGEIFS(Orders_Log!$H:$H,Orders_Log!$C:$C,$A216,Orders_Log!$H:$H,"&gt;0"),0))</f>
        <v/>
      </c>
      <c r="H216">
        <f>IF($A216="","",COUNTIFS(Orders_Log!$C:$C,$A216,Orders_Log!$P:$P,"Returned to Picker"))</f>
        <v/>
      </c>
    </row>
    <row r="217">
      <c r="B217">
        <f>IF($A217="","",COUNTIFS(Orders_Log!$C:$C,$A217,Orders_Log!$B:$B,"&lt;&gt;"))</f>
        <v/>
      </c>
      <c r="C217">
        <f>IF($A217="","",COUNTIFS(Orders_Log!$C:$C,$A217,Orders_Log!$M:$M,"Yes"))</f>
        <v/>
      </c>
      <c r="D217" s="5">
        <f>IF(B217=0,0,C217/B217)</f>
        <v/>
      </c>
      <c r="E217">
        <f>IF($A217="","",SUMIFS(Orders_Log!$I:$I,Orders_Log!$C:$C,$A217))</f>
        <v/>
      </c>
      <c r="F217">
        <f>IF(B217=0,0,E217/B217)</f>
        <v/>
      </c>
      <c r="G217">
        <f>IF($A217="","",IFERROR(AVERAGEIFS(Orders_Log!$H:$H,Orders_Log!$C:$C,$A217,Orders_Log!$H:$H,"&gt;0"),0))</f>
        <v/>
      </c>
      <c r="H217">
        <f>IF($A217="","",COUNTIFS(Orders_Log!$C:$C,$A217,Orders_Log!$P:$P,"Returned to Picker"))</f>
        <v/>
      </c>
    </row>
    <row r="218">
      <c r="B218">
        <f>IF($A218="","",COUNTIFS(Orders_Log!$C:$C,$A218,Orders_Log!$B:$B,"&lt;&gt;"))</f>
        <v/>
      </c>
      <c r="C218">
        <f>IF($A218="","",COUNTIFS(Orders_Log!$C:$C,$A218,Orders_Log!$M:$M,"Yes"))</f>
        <v/>
      </c>
      <c r="D218" s="5">
        <f>IF(B218=0,0,C218/B218)</f>
        <v/>
      </c>
      <c r="E218">
        <f>IF($A218="","",SUMIFS(Orders_Log!$I:$I,Orders_Log!$C:$C,$A218))</f>
        <v/>
      </c>
      <c r="F218">
        <f>IF(B218=0,0,E218/B218)</f>
        <v/>
      </c>
      <c r="G218">
        <f>IF($A218="","",IFERROR(AVERAGEIFS(Orders_Log!$H:$H,Orders_Log!$C:$C,$A218,Orders_Log!$H:$H,"&gt;0"),0))</f>
        <v/>
      </c>
      <c r="H218">
        <f>IF($A218="","",COUNTIFS(Orders_Log!$C:$C,$A218,Orders_Log!$P:$P,"Returned to Picker"))</f>
        <v/>
      </c>
    </row>
    <row r="219">
      <c r="B219">
        <f>IF($A219="","",COUNTIFS(Orders_Log!$C:$C,$A219,Orders_Log!$B:$B,"&lt;&gt;"))</f>
        <v/>
      </c>
      <c r="C219">
        <f>IF($A219="","",COUNTIFS(Orders_Log!$C:$C,$A219,Orders_Log!$M:$M,"Yes"))</f>
        <v/>
      </c>
      <c r="D219" s="5">
        <f>IF(B219=0,0,C219/B219)</f>
        <v/>
      </c>
      <c r="E219">
        <f>IF($A219="","",SUMIFS(Orders_Log!$I:$I,Orders_Log!$C:$C,$A219))</f>
        <v/>
      </c>
      <c r="F219">
        <f>IF(B219=0,0,E219/B219)</f>
        <v/>
      </c>
      <c r="G219">
        <f>IF($A219="","",IFERROR(AVERAGEIFS(Orders_Log!$H:$H,Orders_Log!$C:$C,$A219,Orders_Log!$H:$H,"&gt;0"),0))</f>
        <v/>
      </c>
      <c r="H219">
        <f>IF($A219="","",COUNTIFS(Orders_Log!$C:$C,$A219,Orders_Log!$P:$P,"Returned to Picker"))</f>
        <v/>
      </c>
    </row>
    <row r="220">
      <c r="B220">
        <f>IF($A220="","",COUNTIFS(Orders_Log!$C:$C,$A220,Orders_Log!$B:$B,"&lt;&gt;"))</f>
        <v/>
      </c>
      <c r="C220">
        <f>IF($A220="","",COUNTIFS(Orders_Log!$C:$C,$A220,Orders_Log!$M:$M,"Yes"))</f>
        <v/>
      </c>
      <c r="D220" s="5">
        <f>IF(B220=0,0,C220/B220)</f>
        <v/>
      </c>
      <c r="E220">
        <f>IF($A220="","",SUMIFS(Orders_Log!$I:$I,Orders_Log!$C:$C,$A220))</f>
        <v/>
      </c>
      <c r="F220">
        <f>IF(B220=0,0,E220/B220)</f>
        <v/>
      </c>
      <c r="G220">
        <f>IF($A220="","",IFERROR(AVERAGEIFS(Orders_Log!$H:$H,Orders_Log!$C:$C,$A220,Orders_Log!$H:$H,"&gt;0"),0))</f>
        <v/>
      </c>
      <c r="H220">
        <f>IF($A220="","",COUNTIFS(Orders_Log!$C:$C,$A220,Orders_Log!$P:$P,"Returned to Picker"))</f>
        <v/>
      </c>
    </row>
    <row r="221">
      <c r="B221">
        <f>IF($A221="","",COUNTIFS(Orders_Log!$C:$C,$A221,Orders_Log!$B:$B,"&lt;&gt;"))</f>
        <v/>
      </c>
      <c r="C221">
        <f>IF($A221="","",COUNTIFS(Orders_Log!$C:$C,$A221,Orders_Log!$M:$M,"Yes"))</f>
        <v/>
      </c>
      <c r="D221" s="5">
        <f>IF(B221=0,0,C221/B221)</f>
        <v/>
      </c>
      <c r="E221">
        <f>IF($A221="","",SUMIFS(Orders_Log!$I:$I,Orders_Log!$C:$C,$A221))</f>
        <v/>
      </c>
      <c r="F221">
        <f>IF(B221=0,0,E221/B221)</f>
        <v/>
      </c>
      <c r="G221">
        <f>IF($A221="","",IFERROR(AVERAGEIFS(Orders_Log!$H:$H,Orders_Log!$C:$C,$A221,Orders_Log!$H:$H,"&gt;0"),0))</f>
        <v/>
      </c>
      <c r="H221">
        <f>IF($A221="","",COUNTIFS(Orders_Log!$C:$C,$A221,Orders_Log!$P:$P,"Returned to Picker"))</f>
        <v/>
      </c>
    </row>
    <row r="222">
      <c r="B222">
        <f>IF($A222="","",COUNTIFS(Orders_Log!$C:$C,$A222,Orders_Log!$B:$B,"&lt;&gt;"))</f>
        <v/>
      </c>
      <c r="C222">
        <f>IF($A222="","",COUNTIFS(Orders_Log!$C:$C,$A222,Orders_Log!$M:$M,"Yes"))</f>
        <v/>
      </c>
      <c r="D222" s="5">
        <f>IF(B222=0,0,C222/B222)</f>
        <v/>
      </c>
      <c r="E222">
        <f>IF($A222="","",SUMIFS(Orders_Log!$I:$I,Orders_Log!$C:$C,$A222))</f>
        <v/>
      </c>
      <c r="F222">
        <f>IF(B222=0,0,E222/B222)</f>
        <v/>
      </c>
      <c r="G222">
        <f>IF($A222="","",IFERROR(AVERAGEIFS(Orders_Log!$H:$H,Orders_Log!$C:$C,$A222,Orders_Log!$H:$H,"&gt;0"),0))</f>
        <v/>
      </c>
      <c r="H222">
        <f>IF($A222="","",COUNTIFS(Orders_Log!$C:$C,$A222,Orders_Log!$P:$P,"Returned to Picker"))</f>
        <v/>
      </c>
    </row>
    <row r="223">
      <c r="B223">
        <f>IF($A223="","",COUNTIFS(Orders_Log!$C:$C,$A223,Orders_Log!$B:$B,"&lt;&gt;"))</f>
        <v/>
      </c>
      <c r="C223">
        <f>IF($A223="","",COUNTIFS(Orders_Log!$C:$C,$A223,Orders_Log!$M:$M,"Yes"))</f>
        <v/>
      </c>
      <c r="D223" s="5">
        <f>IF(B223=0,0,C223/B223)</f>
        <v/>
      </c>
      <c r="E223">
        <f>IF($A223="","",SUMIFS(Orders_Log!$I:$I,Orders_Log!$C:$C,$A223))</f>
        <v/>
      </c>
      <c r="F223">
        <f>IF(B223=0,0,E223/B223)</f>
        <v/>
      </c>
      <c r="G223">
        <f>IF($A223="","",IFERROR(AVERAGEIFS(Orders_Log!$H:$H,Orders_Log!$C:$C,$A223,Orders_Log!$H:$H,"&gt;0"),0))</f>
        <v/>
      </c>
      <c r="H223">
        <f>IF($A223="","",COUNTIFS(Orders_Log!$C:$C,$A223,Orders_Log!$P:$P,"Returned to Picker"))</f>
        <v/>
      </c>
    </row>
    <row r="224">
      <c r="B224">
        <f>IF($A224="","",COUNTIFS(Orders_Log!$C:$C,$A224,Orders_Log!$B:$B,"&lt;&gt;"))</f>
        <v/>
      </c>
      <c r="C224">
        <f>IF($A224="","",COUNTIFS(Orders_Log!$C:$C,$A224,Orders_Log!$M:$M,"Yes"))</f>
        <v/>
      </c>
      <c r="D224" s="5">
        <f>IF(B224=0,0,C224/B224)</f>
        <v/>
      </c>
      <c r="E224">
        <f>IF($A224="","",SUMIFS(Orders_Log!$I:$I,Orders_Log!$C:$C,$A224))</f>
        <v/>
      </c>
      <c r="F224">
        <f>IF(B224=0,0,E224/B224)</f>
        <v/>
      </c>
      <c r="G224">
        <f>IF($A224="","",IFERROR(AVERAGEIFS(Orders_Log!$H:$H,Orders_Log!$C:$C,$A224,Orders_Log!$H:$H,"&gt;0"),0))</f>
        <v/>
      </c>
      <c r="H224">
        <f>IF($A224="","",COUNTIFS(Orders_Log!$C:$C,$A224,Orders_Log!$P:$P,"Returned to Picker"))</f>
        <v/>
      </c>
    </row>
    <row r="225">
      <c r="B225">
        <f>IF($A225="","",COUNTIFS(Orders_Log!$C:$C,$A225,Orders_Log!$B:$B,"&lt;&gt;"))</f>
        <v/>
      </c>
      <c r="C225">
        <f>IF($A225="","",COUNTIFS(Orders_Log!$C:$C,$A225,Orders_Log!$M:$M,"Yes"))</f>
        <v/>
      </c>
      <c r="D225" s="5">
        <f>IF(B225=0,0,C225/B225)</f>
        <v/>
      </c>
      <c r="E225">
        <f>IF($A225="","",SUMIFS(Orders_Log!$I:$I,Orders_Log!$C:$C,$A225))</f>
        <v/>
      </c>
      <c r="F225">
        <f>IF(B225=0,0,E225/B225)</f>
        <v/>
      </c>
      <c r="G225">
        <f>IF($A225="","",IFERROR(AVERAGEIFS(Orders_Log!$H:$H,Orders_Log!$C:$C,$A225,Orders_Log!$H:$H,"&gt;0"),0))</f>
        <v/>
      </c>
      <c r="H225">
        <f>IF($A225="","",COUNTIFS(Orders_Log!$C:$C,$A225,Orders_Log!$P:$P,"Returned to Picker"))</f>
        <v/>
      </c>
    </row>
    <row r="226">
      <c r="B226">
        <f>IF($A226="","",COUNTIFS(Orders_Log!$C:$C,$A226,Orders_Log!$B:$B,"&lt;&gt;"))</f>
        <v/>
      </c>
      <c r="C226">
        <f>IF($A226="","",COUNTIFS(Orders_Log!$C:$C,$A226,Orders_Log!$M:$M,"Yes"))</f>
        <v/>
      </c>
      <c r="D226" s="5">
        <f>IF(B226=0,0,C226/B226)</f>
        <v/>
      </c>
      <c r="E226">
        <f>IF($A226="","",SUMIFS(Orders_Log!$I:$I,Orders_Log!$C:$C,$A226))</f>
        <v/>
      </c>
      <c r="F226">
        <f>IF(B226=0,0,E226/B226)</f>
        <v/>
      </c>
      <c r="G226">
        <f>IF($A226="","",IFERROR(AVERAGEIFS(Orders_Log!$H:$H,Orders_Log!$C:$C,$A226,Orders_Log!$H:$H,"&gt;0"),0))</f>
        <v/>
      </c>
      <c r="H226">
        <f>IF($A226="","",COUNTIFS(Orders_Log!$C:$C,$A226,Orders_Log!$P:$P,"Returned to Picker"))</f>
        <v/>
      </c>
    </row>
    <row r="227">
      <c r="B227">
        <f>IF($A227="","",COUNTIFS(Orders_Log!$C:$C,$A227,Orders_Log!$B:$B,"&lt;&gt;"))</f>
        <v/>
      </c>
      <c r="C227">
        <f>IF($A227="","",COUNTIFS(Orders_Log!$C:$C,$A227,Orders_Log!$M:$M,"Yes"))</f>
        <v/>
      </c>
      <c r="D227" s="5">
        <f>IF(B227=0,0,C227/B227)</f>
        <v/>
      </c>
      <c r="E227">
        <f>IF($A227="","",SUMIFS(Orders_Log!$I:$I,Orders_Log!$C:$C,$A227))</f>
        <v/>
      </c>
      <c r="F227">
        <f>IF(B227=0,0,E227/B227)</f>
        <v/>
      </c>
      <c r="G227">
        <f>IF($A227="","",IFERROR(AVERAGEIFS(Orders_Log!$H:$H,Orders_Log!$C:$C,$A227,Orders_Log!$H:$H,"&gt;0"),0))</f>
        <v/>
      </c>
      <c r="H227">
        <f>IF($A227="","",COUNTIFS(Orders_Log!$C:$C,$A227,Orders_Log!$P:$P,"Returned to Picker"))</f>
        <v/>
      </c>
    </row>
    <row r="228">
      <c r="B228">
        <f>IF($A228="","",COUNTIFS(Orders_Log!$C:$C,$A228,Orders_Log!$B:$B,"&lt;&gt;"))</f>
        <v/>
      </c>
      <c r="C228">
        <f>IF($A228="","",COUNTIFS(Orders_Log!$C:$C,$A228,Orders_Log!$M:$M,"Yes"))</f>
        <v/>
      </c>
      <c r="D228" s="5">
        <f>IF(B228=0,0,C228/B228)</f>
        <v/>
      </c>
      <c r="E228">
        <f>IF($A228="","",SUMIFS(Orders_Log!$I:$I,Orders_Log!$C:$C,$A228))</f>
        <v/>
      </c>
      <c r="F228">
        <f>IF(B228=0,0,E228/B228)</f>
        <v/>
      </c>
      <c r="G228">
        <f>IF($A228="","",IFERROR(AVERAGEIFS(Orders_Log!$H:$H,Orders_Log!$C:$C,$A228,Orders_Log!$H:$H,"&gt;0"),0))</f>
        <v/>
      </c>
      <c r="H228">
        <f>IF($A228="","",COUNTIFS(Orders_Log!$C:$C,$A228,Orders_Log!$P:$P,"Returned to Picker"))</f>
        <v/>
      </c>
    </row>
    <row r="229">
      <c r="B229">
        <f>IF($A229="","",COUNTIFS(Orders_Log!$C:$C,$A229,Orders_Log!$B:$B,"&lt;&gt;"))</f>
        <v/>
      </c>
      <c r="C229">
        <f>IF($A229="","",COUNTIFS(Orders_Log!$C:$C,$A229,Orders_Log!$M:$M,"Yes"))</f>
        <v/>
      </c>
      <c r="D229" s="5">
        <f>IF(B229=0,0,C229/B229)</f>
        <v/>
      </c>
      <c r="E229">
        <f>IF($A229="","",SUMIFS(Orders_Log!$I:$I,Orders_Log!$C:$C,$A229))</f>
        <v/>
      </c>
      <c r="F229">
        <f>IF(B229=0,0,E229/B229)</f>
        <v/>
      </c>
      <c r="G229">
        <f>IF($A229="","",IFERROR(AVERAGEIFS(Orders_Log!$H:$H,Orders_Log!$C:$C,$A229,Orders_Log!$H:$H,"&gt;0"),0))</f>
        <v/>
      </c>
      <c r="H229">
        <f>IF($A229="","",COUNTIFS(Orders_Log!$C:$C,$A229,Orders_Log!$P:$P,"Returned to Picker"))</f>
        <v/>
      </c>
    </row>
    <row r="230">
      <c r="B230">
        <f>IF($A230="","",COUNTIFS(Orders_Log!$C:$C,$A230,Orders_Log!$B:$B,"&lt;&gt;"))</f>
        <v/>
      </c>
      <c r="C230">
        <f>IF($A230="","",COUNTIFS(Orders_Log!$C:$C,$A230,Orders_Log!$M:$M,"Yes"))</f>
        <v/>
      </c>
      <c r="D230" s="5">
        <f>IF(B230=0,0,C230/B230)</f>
        <v/>
      </c>
      <c r="E230">
        <f>IF($A230="","",SUMIFS(Orders_Log!$I:$I,Orders_Log!$C:$C,$A230))</f>
        <v/>
      </c>
      <c r="F230">
        <f>IF(B230=0,0,E230/B230)</f>
        <v/>
      </c>
      <c r="G230">
        <f>IF($A230="","",IFERROR(AVERAGEIFS(Orders_Log!$H:$H,Orders_Log!$C:$C,$A230,Orders_Log!$H:$H,"&gt;0"),0))</f>
        <v/>
      </c>
      <c r="H230">
        <f>IF($A230="","",COUNTIFS(Orders_Log!$C:$C,$A230,Orders_Log!$P:$P,"Returned to Picker"))</f>
        <v/>
      </c>
    </row>
    <row r="231">
      <c r="B231">
        <f>IF($A231="","",COUNTIFS(Orders_Log!$C:$C,$A231,Orders_Log!$B:$B,"&lt;&gt;"))</f>
        <v/>
      </c>
      <c r="C231">
        <f>IF($A231="","",COUNTIFS(Orders_Log!$C:$C,$A231,Orders_Log!$M:$M,"Yes"))</f>
        <v/>
      </c>
      <c r="D231" s="5">
        <f>IF(B231=0,0,C231/B231)</f>
        <v/>
      </c>
      <c r="E231">
        <f>IF($A231="","",SUMIFS(Orders_Log!$I:$I,Orders_Log!$C:$C,$A231))</f>
        <v/>
      </c>
      <c r="F231">
        <f>IF(B231=0,0,E231/B231)</f>
        <v/>
      </c>
      <c r="G231">
        <f>IF($A231="","",IFERROR(AVERAGEIFS(Orders_Log!$H:$H,Orders_Log!$C:$C,$A231,Orders_Log!$H:$H,"&gt;0"),0))</f>
        <v/>
      </c>
      <c r="H231">
        <f>IF($A231="","",COUNTIFS(Orders_Log!$C:$C,$A231,Orders_Log!$P:$P,"Returned to Picker"))</f>
        <v/>
      </c>
    </row>
    <row r="232">
      <c r="B232">
        <f>IF($A232="","",COUNTIFS(Orders_Log!$C:$C,$A232,Orders_Log!$B:$B,"&lt;&gt;"))</f>
        <v/>
      </c>
      <c r="C232">
        <f>IF($A232="","",COUNTIFS(Orders_Log!$C:$C,$A232,Orders_Log!$M:$M,"Yes"))</f>
        <v/>
      </c>
      <c r="D232" s="5">
        <f>IF(B232=0,0,C232/B232)</f>
        <v/>
      </c>
      <c r="E232">
        <f>IF($A232="","",SUMIFS(Orders_Log!$I:$I,Orders_Log!$C:$C,$A232))</f>
        <v/>
      </c>
      <c r="F232">
        <f>IF(B232=0,0,E232/B232)</f>
        <v/>
      </c>
      <c r="G232">
        <f>IF($A232="","",IFERROR(AVERAGEIFS(Orders_Log!$H:$H,Orders_Log!$C:$C,$A232,Orders_Log!$H:$H,"&gt;0"),0))</f>
        <v/>
      </c>
      <c r="H232">
        <f>IF($A232="","",COUNTIFS(Orders_Log!$C:$C,$A232,Orders_Log!$P:$P,"Returned to Picker"))</f>
        <v/>
      </c>
    </row>
    <row r="233">
      <c r="B233">
        <f>IF($A233="","",COUNTIFS(Orders_Log!$C:$C,$A233,Orders_Log!$B:$B,"&lt;&gt;"))</f>
        <v/>
      </c>
      <c r="C233">
        <f>IF($A233="","",COUNTIFS(Orders_Log!$C:$C,$A233,Orders_Log!$M:$M,"Yes"))</f>
        <v/>
      </c>
      <c r="D233" s="5">
        <f>IF(B233=0,0,C233/B233)</f>
        <v/>
      </c>
      <c r="E233">
        <f>IF($A233="","",SUMIFS(Orders_Log!$I:$I,Orders_Log!$C:$C,$A233))</f>
        <v/>
      </c>
      <c r="F233">
        <f>IF(B233=0,0,E233/B233)</f>
        <v/>
      </c>
      <c r="G233">
        <f>IF($A233="","",IFERROR(AVERAGEIFS(Orders_Log!$H:$H,Orders_Log!$C:$C,$A233,Orders_Log!$H:$H,"&gt;0"),0))</f>
        <v/>
      </c>
      <c r="H233">
        <f>IF($A233="","",COUNTIFS(Orders_Log!$C:$C,$A233,Orders_Log!$P:$P,"Returned to Picker"))</f>
        <v/>
      </c>
    </row>
    <row r="234">
      <c r="B234">
        <f>IF($A234="","",COUNTIFS(Orders_Log!$C:$C,$A234,Orders_Log!$B:$B,"&lt;&gt;"))</f>
        <v/>
      </c>
      <c r="C234">
        <f>IF($A234="","",COUNTIFS(Orders_Log!$C:$C,$A234,Orders_Log!$M:$M,"Yes"))</f>
        <v/>
      </c>
      <c r="D234" s="5">
        <f>IF(B234=0,0,C234/B234)</f>
        <v/>
      </c>
      <c r="E234">
        <f>IF($A234="","",SUMIFS(Orders_Log!$I:$I,Orders_Log!$C:$C,$A234))</f>
        <v/>
      </c>
      <c r="F234">
        <f>IF(B234=0,0,E234/B234)</f>
        <v/>
      </c>
      <c r="G234">
        <f>IF($A234="","",IFERROR(AVERAGEIFS(Orders_Log!$H:$H,Orders_Log!$C:$C,$A234,Orders_Log!$H:$H,"&gt;0"),0))</f>
        <v/>
      </c>
      <c r="H234">
        <f>IF($A234="","",COUNTIFS(Orders_Log!$C:$C,$A234,Orders_Log!$P:$P,"Returned to Picker"))</f>
        <v/>
      </c>
    </row>
    <row r="235">
      <c r="B235">
        <f>IF($A235="","",COUNTIFS(Orders_Log!$C:$C,$A235,Orders_Log!$B:$B,"&lt;&gt;"))</f>
        <v/>
      </c>
      <c r="C235">
        <f>IF($A235="","",COUNTIFS(Orders_Log!$C:$C,$A235,Orders_Log!$M:$M,"Yes"))</f>
        <v/>
      </c>
      <c r="D235" s="5">
        <f>IF(B235=0,0,C235/B235)</f>
        <v/>
      </c>
      <c r="E235">
        <f>IF($A235="","",SUMIFS(Orders_Log!$I:$I,Orders_Log!$C:$C,$A235))</f>
        <v/>
      </c>
      <c r="F235">
        <f>IF(B235=0,0,E235/B235)</f>
        <v/>
      </c>
      <c r="G235">
        <f>IF($A235="","",IFERROR(AVERAGEIFS(Orders_Log!$H:$H,Orders_Log!$C:$C,$A235,Orders_Log!$H:$H,"&gt;0"),0))</f>
        <v/>
      </c>
      <c r="H235">
        <f>IF($A235="","",COUNTIFS(Orders_Log!$C:$C,$A235,Orders_Log!$P:$P,"Returned to Picker"))</f>
        <v/>
      </c>
    </row>
    <row r="236">
      <c r="B236">
        <f>IF($A236="","",COUNTIFS(Orders_Log!$C:$C,$A236,Orders_Log!$B:$B,"&lt;&gt;"))</f>
        <v/>
      </c>
      <c r="C236">
        <f>IF($A236="","",COUNTIFS(Orders_Log!$C:$C,$A236,Orders_Log!$M:$M,"Yes"))</f>
        <v/>
      </c>
      <c r="D236" s="5">
        <f>IF(B236=0,0,C236/B236)</f>
        <v/>
      </c>
      <c r="E236">
        <f>IF($A236="","",SUMIFS(Orders_Log!$I:$I,Orders_Log!$C:$C,$A236))</f>
        <v/>
      </c>
      <c r="F236">
        <f>IF(B236=0,0,E236/B236)</f>
        <v/>
      </c>
      <c r="G236">
        <f>IF($A236="","",IFERROR(AVERAGEIFS(Orders_Log!$H:$H,Orders_Log!$C:$C,$A236,Orders_Log!$H:$H,"&gt;0"),0))</f>
        <v/>
      </c>
      <c r="H236">
        <f>IF($A236="","",COUNTIFS(Orders_Log!$C:$C,$A236,Orders_Log!$P:$P,"Returned to Picker"))</f>
        <v/>
      </c>
    </row>
    <row r="237">
      <c r="B237">
        <f>IF($A237="","",COUNTIFS(Orders_Log!$C:$C,$A237,Orders_Log!$B:$B,"&lt;&gt;"))</f>
        <v/>
      </c>
      <c r="C237">
        <f>IF($A237="","",COUNTIFS(Orders_Log!$C:$C,$A237,Orders_Log!$M:$M,"Yes"))</f>
        <v/>
      </c>
      <c r="D237" s="5">
        <f>IF(B237=0,0,C237/B237)</f>
        <v/>
      </c>
      <c r="E237">
        <f>IF($A237="","",SUMIFS(Orders_Log!$I:$I,Orders_Log!$C:$C,$A237))</f>
        <v/>
      </c>
      <c r="F237">
        <f>IF(B237=0,0,E237/B237)</f>
        <v/>
      </c>
      <c r="G237">
        <f>IF($A237="","",IFERROR(AVERAGEIFS(Orders_Log!$H:$H,Orders_Log!$C:$C,$A237,Orders_Log!$H:$H,"&gt;0"),0))</f>
        <v/>
      </c>
      <c r="H237">
        <f>IF($A237="","",COUNTIFS(Orders_Log!$C:$C,$A237,Orders_Log!$P:$P,"Returned to Picker"))</f>
        <v/>
      </c>
    </row>
    <row r="238">
      <c r="B238">
        <f>IF($A238="","",COUNTIFS(Orders_Log!$C:$C,$A238,Orders_Log!$B:$B,"&lt;&gt;"))</f>
        <v/>
      </c>
      <c r="C238">
        <f>IF($A238="","",COUNTIFS(Orders_Log!$C:$C,$A238,Orders_Log!$M:$M,"Yes"))</f>
        <v/>
      </c>
      <c r="D238" s="5">
        <f>IF(B238=0,0,C238/B238)</f>
        <v/>
      </c>
      <c r="E238">
        <f>IF($A238="","",SUMIFS(Orders_Log!$I:$I,Orders_Log!$C:$C,$A238))</f>
        <v/>
      </c>
      <c r="F238">
        <f>IF(B238=0,0,E238/B238)</f>
        <v/>
      </c>
      <c r="G238">
        <f>IF($A238="","",IFERROR(AVERAGEIFS(Orders_Log!$H:$H,Orders_Log!$C:$C,$A238,Orders_Log!$H:$H,"&gt;0"),0))</f>
        <v/>
      </c>
      <c r="H238">
        <f>IF($A238="","",COUNTIFS(Orders_Log!$C:$C,$A238,Orders_Log!$P:$P,"Returned to Picker"))</f>
        <v/>
      </c>
    </row>
    <row r="239">
      <c r="B239">
        <f>IF($A239="","",COUNTIFS(Orders_Log!$C:$C,$A239,Orders_Log!$B:$B,"&lt;&gt;"))</f>
        <v/>
      </c>
      <c r="C239">
        <f>IF($A239="","",COUNTIFS(Orders_Log!$C:$C,$A239,Orders_Log!$M:$M,"Yes"))</f>
        <v/>
      </c>
      <c r="D239" s="5">
        <f>IF(B239=0,0,C239/B239)</f>
        <v/>
      </c>
      <c r="E239">
        <f>IF($A239="","",SUMIFS(Orders_Log!$I:$I,Orders_Log!$C:$C,$A239))</f>
        <v/>
      </c>
      <c r="F239">
        <f>IF(B239=0,0,E239/B239)</f>
        <v/>
      </c>
      <c r="G239">
        <f>IF($A239="","",IFERROR(AVERAGEIFS(Orders_Log!$H:$H,Orders_Log!$C:$C,$A239,Orders_Log!$H:$H,"&gt;0"),0))</f>
        <v/>
      </c>
      <c r="H239">
        <f>IF($A239="","",COUNTIFS(Orders_Log!$C:$C,$A239,Orders_Log!$P:$P,"Returned to Picker"))</f>
        <v/>
      </c>
    </row>
    <row r="240">
      <c r="B240">
        <f>IF($A240="","",COUNTIFS(Orders_Log!$C:$C,$A240,Orders_Log!$B:$B,"&lt;&gt;"))</f>
        <v/>
      </c>
      <c r="C240">
        <f>IF($A240="","",COUNTIFS(Orders_Log!$C:$C,$A240,Orders_Log!$M:$M,"Yes"))</f>
        <v/>
      </c>
      <c r="D240" s="5">
        <f>IF(B240=0,0,C240/B240)</f>
        <v/>
      </c>
      <c r="E240">
        <f>IF($A240="","",SUMIFS(Orders_Log!$I:$I,Orders_Log!$C:$C,$A240))</f>
        <v/>
      </c>
      <c r="F240">
        <f>IF(B240=0,0,E240/B240)</f>
        <v/>
      </c>
      <c r="G240">
        <f>IF($A240="","",IFERROR(AVERAGEIFS(Orders_Log!$H:$H,Orders_Log!$C:$C,$A240,Orders_Log!$H:$H,"&gt;0"),0))</f>
        <v/>
      </c>
      <c r="H240">
        <f>IF($A240="","",COUNTIFS(Orders_Log!$C:$C,$A240,Orders_Log!$P:$P,"Returned to Picker"))</f>
        <v/>
      </c>
    </row>
    <row r="241">
      <c r="B241">
        <f>IF($A241="","",COUNTIFS(Orders_Log!$C:$C,$A241,Orders_Log!$B:$B,"&lt;&gt;"))</f>
        <v/>
      </c>
      <c r="C241">
        <f>IF($A241="","",COUNTIFS(Orders_Log!$C:$C,$A241,Orders_Log!$M:$M,"Yes"))</f>
        <v/>
      </c>
      <c r="D241" s="5">
        <f>IF(B241=0,0,C241/B241)</f>
        <v/>
      </c>
      <c r="E241">
        <f>IF($A241="","",SUMIFS(Orders_Log!$I:$I,Orders_Log!$C:$C,$A241))</f>
        <v/>
      </c>
      <c r="F241">
        <f>IF(B241=0,0,E241/B241)</f>
        <v/>
      </c>
      <c r="G241">
        <f>IF($A241="","",IFERROR(AVERAGEIFS(Orders_Log!$H:$H,Orders_Log!$C:$C,$A241,Orders_Log!$H:$H,"&gt;0"),0))</f>
        <v/>
      </c>
      <c r="H241">
        <f>IF($A241="","",COUNTIFS(Orders_Log!$C:$C,$A241,Orders_Log!$P:$P,"Returned to Picker"))</f>
        <v/>
      </c>
    </row>
    <row r="242">
      <c r="B242">
        <f>IF($A242="","",COUNTIFS(Orders_Log!$C:$C,$A242,Orders_Log!$B:$B,"&lt;&gt;"))</f>
        <v/>
      </c>
      <c r="C242">
        <f>IF($A242="","",COUNTIFS(Orders_Log!$C:$C,$A242,Orders_Log!$M:$M,"Yes"))</f>
        <v/>
      </c>
      <c r="D242" s="5">
        <f>IF(B242=0,0,C242/B242)</f>
        <v/>
      </c>
      <c r="E242">
        <f>IF($A242="","",SUMIFS(Orders_Log!$I:$I,Orders_Log!$C:$C,$A242))</f>
        <v/>
      </c>
      <c r="F242">
        <f>IF(B242=0,0,E242/B242)</f>
        <v/>
      </c>
      <c r="G242">
        <f>IF($A242="","",IFERROR(AVERAGEIFS(Orders_Log!$H:$H,Orders_Log!$C:$C,$A242,Orders_Log!$H:$H,"&gt;0"),0))</f>
        <v/>
      </c>
      <c r="H242">
        <f>IF($A242="","",COUNTIFS(Orders_Log!$C:$C,$A242,Orders_Log!$P:$P,"Returned to Picker"))</f>
        <v/>
      </c>
    </row>
    <row r="243">
      <c r="B243">
        <f>IF($A243="","",COUNTIFS(Orders_Log!$C:$C,$A243,Orders_Log!$B:$B,"&lt;&gt;"))</f>
        <v/>
      </c>
      <c r="C243">
        <f>IF($A243="","",COUNTIFS(Orders_Log!$C:$C,$A243,Orders_Log!$M:$M,"Yes"))</f>
        <v/>
      </c>
      <c r="D243" s="5">
        <f>IF(B243=0,0,C243/B243)</f>
        <v/>
      </c>
      <c r="E243">
        <f>IF($A243="","",SUMIFS(Orders_Log!$I:$I,Orders_Log!$C:$C,$A243))</f>
        <v/>
      </c>
      <c r="F243">
        <f>IF(B243=0,0,E243/B243)</f>
        <v/>
      </c>
      <c r="G243">
        <f>IF($A243="","",IFERROR(AVERAGEIFS(Orders_Log!$H:$H,Orders_Log!$C:$C,$A243,Orders_Log!$H:$H,"&gt;0"),0))</f>
        <v/>
      </c>
      <c r="H243">
        <f>IF($A243="","",COUNTIFS(Orders_Log!$C:$C,$A243,Orders_Log!$P:$P,"Returned to Picker"))</f>
        <v/>
      </c>
    </row>
    <row r="244">
      <c r="B244">
        <f>IF($A244="","",COUNTIFS(Orders_Log!$C:$C,$A244,Orders_Log!$B:$B,"&lt;&gt;"))</f>
        <v/>
      </c>
      <c r="C244">
        <f>IF($A244="","",COUNTIFS(Orders_Log!$C:$C,$A244,Orders_Log!$M:$M,"Yes"))</f>
        <v/>
      </c>
      <c r="D244" s="5">
        <f>IF(B244=0,0,C244/B244)</f>
        <v/>
      </c>
      <c r="E244">
        <f>IF($A244="","",SUMIFS(Orders_Log!$I:$I,Orders_Log!$C:$C,$A244))</f>
        <v/>
      </c>
      <c r="F244">
        <f>IF(B244=0,0,E244/B244)</f>
        <v/>
      </c>
      <c r="G244">
        <f>IF($A244="","",IFERROR(AVERAGEIFS(Orders_Log!$H:$H,Orders_Log!$C:$C,$A244,Orders_Log!$H:$H,"&gt;0"),0))</f>
        <v/>
      </c>
      <c r="H244">
        <f>IF($A244="","",COUNTIFS(Orders_Log!$C:$C,$A244,Orders_Log!$P:$P,"Returned to Picker"))</f>
        <v/>
      </c>
    </row>
    <row r="245">
      <c r="B245">
        <f>IF($A245="","",COUNTIFS(Orders_Log!$C:$C,$A245,Orders_Log!$B:$B,"&lt;&gt;"))</f>
        <v/>
      </c>
      <c r="C245">
        <f>IF($A245="","",COUNTIFS(Orders_Log!$C:$C,$A245,Orders_Log!$M:$M,"Yes"))</f>
        <v/>
      </c>
      <c r="D245" s="5">
        <f>IF(B245=0,0,C245/B245)</f>
        <v/>
      </c>
      <c r="E245">
        <f>IF($A245="","",SUMIFS(Orders_Log!$I:$I,Orders_Log!$C:$C,$A245))</f>
        <v/>
      </c>
      <c r="F245">
        <f>IF(B245=0,0,E245/B245)</f>
        <v/>
      </c>
      <c r="G245">
        <f>IF($A245="","",IFERROR(AVERAGEIFS(Orders_Log!$H:$H,Orders_Log!$C:$C,$A245,Orders_Log!$H:$H,"&gt;0"),0))</f>
        <v/>
      </c>
      <c r="H245">
        <f>IF($A245="","",COUNTIFS(Orders_Log!$C:$C,$A245,Orders_Log!$P:$P,"Returned to Picker"))</f>
        <v/>
      </c>
    </row>
    <row r="246">
      <c r="B246">
        <f>IF($A246="","",COUNTIFS(Orders_Log!$C:$C,$A246,Orders_Log!$B:$B,"&lt;&gt;"))</f>
        <v/>
      </c>
      <c r="C246">
        <f>IF($A246="","",COUNTIFS(Orders_Log!$C:$C,$A246,Orders_Log!$M:$M,"Yes"))</f>
        <v/>
      </c>
      <c r="D246" s="5">
        <f>IF(B246=0,0,C246/B246)</f>
        <v/>
      </c>
      <c r="E246">
        <f>IF($A246="","",SUMIFS(Orders_Log!$I:$I,Orders_Log!$C:$C,$A246))</f>
        <v/>
      </c>
      <c r="F246">
        <f>IF(B246=0,0,E246/B246)</f>
        <v/>
      </c>
      <c r="G246">
        <f>IF($A246="","",IFERROR(AVERAGEIFS(Orders_Log!$H:$H,Orders_Log!$C:$C,$A246,Orders_Log!$H:$H,"&gt;0"),0))</f>
        <v/>
      </c>
      <c r="H246">
        <f>IF($A246="","",COUNTIFS(Orders_Log!$C:$C,$A246,Orders_Log!$P:$P,"Returned to Picker"))</f>
        <v/>
      </c>
    </row>
    <row r="247">
      <c r="B247">
        <f>IF($A247="","",COUNTIFS(Orders_Log!$C:$C,$A247,Orders_Log!$B:$B,"&lt;&gt;"))</f>
        <v/>
      </c>
      <c r="C247">
        <f>IF($A247="","",COUNTIFS(Orders_Log!$C:$C,$A247,Orders_Log!$M:$M,"Yes"))</f>
        <v/>
      </c>
      <c r="D247" s="5">
        <f>IF(B247=0,0,C247/B247)</f>
        <v/>
      </c>
      <c r="E247">
        <f>IF($A247="","",SUMIFS(Orders_Log!$I:$I,Orders_Log!$C:$C,$A247))</f>
        <v/>
      </c>
      <c r="F247">
        <f>IF(B247=0,0,E247/B247)</f>
        <v/>
      </c>
      <c r="G247">
        <f>IF($A247="","",IFERROR(AVERAGEIFS(Orders_Log!$H:$H,Orders_Log!$C:$C,$A247,Orders_Log!$H:$H,"&gt;0"),0))</f>
        <v/>
      </c>
      <c r="H247">
        <f>IF($A247="","",COUNTIFS(Orders_Log!$C:$C,$A247,Orders_Log!$P:$P,"Returned to Picker"))</f>
        <v/>
      </c>
    </row>
    <row r="248">
      <c r="B248">
        <f>IF($A248="","",COUNTIFS(Orders_Log!$C:$C,$A248,Orders_Log!$B:$B,"&lt;&gt;"))</f>
        <v/>
      </c>
      <c r="C248">
        <f>IF($A248="","",COUNTIFS(Orders_Log!$C:$C,$A248,Orders_Log!$M:$M,"Yes"))</f>
        <v/>
      </c>
      <c r="D248" s="5">
        <f>IF(B248=0,0,C248/B248)</f>
        <v/>
      </c>
      <c r="E248">
        <f>IF($A248="","",SUMIFS(Orders_Log!$I:$I,Orders_Log!$C:$C,$A248))</f>
        <v/>
      </c>
      <c r="F248">
        <f>IF(B248=0,0,E248/B248)</f>
        <v/>
      </c>
      <c r="G248">
        <f>IF($A248="","",IFERROR(AVERAGEIFS(Orders_Log!$H:$H,Orders_Log!$C:$C,$A248,Orders_Log!$H:$H,"&gt;0"),0))</f>
        <v/>
      </c>
      <c r="H248">
        <f>IF($A248="","",COUNTIFS(Orders_Log!$C:$C,$A248,Orders_Log!$P:$P,"Returned to Picker"))</f>
        <v/>
      </c>
    </row>
    <row r="249">
      <c r="B249">
        <f>IF($A249="","",COUNTIFS(Orders_Log!$C:$C,$A249,Orders_Log!$B:$B,"&lt;&gt;"))</f>
        <v/>
      </c>
      <c r="C249">
        <f>IF($A249="","",COUNTIFS(Orders_Log!$C:$C,$A249,Orders_Log!$M:$M,"Yes"))</f>
        <v/>
      </c>
      <c r="D249" s="5">
        <f>IF(B249=0,0,C249/B249)</f>
        <v/>
      </c>
      <c r="E249">
        <f>IF($A249="","",SUMIFS(Orders_Log!$I:$I,Orders_Log!$C:$C,$A249))</f>
        <v/>
      </c>
      <c r="F249">
        <f>IF(B249=0,0,E249/B249)</f>
        <v/>
      </c>
      <c r="G249">
        <f>IF($A249="","",IFERROR(AVERAGEIFS(Orders_Log!$H:$H,Orders_Log!$C:$C,$A249,Orders_Log!$H:$H,"&gt;0"),0))</f>
        <v/>
      </c>
      <c r="H249">
        <f>IF($A249="","",COUNTIFS(Orders_Log!$C:$C,$A249,Orders_Log!$P:$P,"Returned to Picker"))</f>
        <v/>
      </c>
    </row>
    <row r="250">
      <c r="B250">
        <f>IF($A250="","",COUNTIFS(Orders_Log!$C:$C,$A250,Orders_Log!$B:$B,"&lt;&gt;"))</f>
        <v/>
      </c>
      <c r="C250">
        <f>IF($A250="","",COUNTIFS(Orders_Log!$C:$C,$A250,Orders_Log!$M:$M,"Yes"))</f>
        <v/>
      </c>
      <c r="D250" s="5">
        <f>IF(B250=0,0,C250/B250)</f>
        <v/>
      </c>
      <c r="E250">
        <f>IF($A250="","",SUMIFS(Orders_Log!$I:$I,Orders_Log!$C:$C,$A250))</f>
        <v/>
      </c>
      <c r="F250">
        <f>IF(B250=0,0,E250/B250)</f>
        <v/>
      </c>
      <c r="G250">
        <f>IF($A250="","",IFERROR(AVERAGEIFS(Orders_Log!$H:$H,Orders_Log!$C:$C,$A250,Orders_Log!$H:$H,"&gt;0"),0))</f>
        <v/>
      </c>
      <c r="H250">
        <f>IF($A250="","",COUNTIFS(Orders_Log!$C:$C,$A250,Orders_Log!$P:$P,"Returned to Picker"))</f>
        <v/>
      </c>
    </row>
    <row r="251">
      <c r="B251">
        <f>IF($A251="","",COUNTIFS(Orders_Log!$C:$C,$A251,Orders_Log!$B:$B,"&lt;&gt;"))</f>
        <v/>
      </c>
      <c r="C251">
        <f>IF($A251="","",COUNTIFS(Orders_Log!$C:$C,$A251,Orders_Log!$M:$M,"Yes"))</f>
        <v/>
      </c>
      <c r="D251" s="5">
        <f>IF(B251=0,0,C251/B251)</f>
        <v/>
      </c>
      <c r="E251">
        <f>IF($A251="","",SUMIFS(Orders_Log!$I:$I,Orders_Log!$C:$C,$A251))</f>
        <v/>
      </c>
      <c r="F251">
        <f>IF(B251=0,0,E251/B251)</f>
        <v/>
      </c>
      <c r="G251">
        <f>IF($A251="","",IFERROR(AVERAGEIFS(Orders_Log!$H:$H,Orders_Log!$C:$C,$A251,Orders_Log!$H:$H,"&gt;0"),0))</f>
        <v/>
      </c>
      <c r="H251">
        <f>IF($A251="","",COUNTIFS(Orders_Log!$C:$C,$A251,Orders_Log!$P:$P,"Returned to Picker"))</f>
        <v/>
      </c>
    </row>
    <row r="252">
      <c r="B252">
        <f>IF($A252="","",COUNTIFS(Orders_Log!$C:$C,$A252,Orders_Log!$B:$B,"&lt;&gt;"))</f>
        <v/>
      </c>
      <c r="C252">
        <f>IF($A252="","",COUNTIFS(Orders_Log!$C:$C,$A252,Orders_Log!$M:$M,"Yes"))</f>
        <v/>
      </c>
      <c r="D252" s="5">
        <f>IF(B252=0,0,C252/B252)</f>
        <v/>
      </c>
      <c r="E252">
        <f>IF($A252="","",SUMIFS(Orders_Log!$I:$I,Orders_Log!$C:$C,$A252))</f>
        <v/>
      </c>
      <c r="F252">
        <f>IF(B252=0,0,E252/B252)</f>
        <v/>
      </c>
      <c r="G252">
        <f>IF($A252="","",IFERROR(AVERAGEIFS(Orders_Log!$H:$H,Orders_Log!$C:$C,$A252,Orders_Log!$H:$H,"&gt;0"),0))</f>
        <v/>
      </c>
      <c r="H252">
        <f>IF($A252="","",COUNTIFS(Orders_Log!$C:$C,$A252,Orders_Log!$P:$P,"Returned to Picker"))</f>
        <v/>
      </c>
    </row>
    <row r="253">
      <c r="B253">
        <f>IF($A253="","",COUNTIFS(Orders_Log!$C:$C,$A253,Orders_Log!$B:$B,"&lt;&gt;"))</f>
        <v/>
      </c>
      <c r="C253">
        <f>IF($A253="","",COUNTIFS(Orders_Log!$C:$C,$A253,Orders_Log!$M:$M,"Yes"))</f>
        <v/>
      </c>
      <c r="D253" s="5">
        <f>IF(B253=0,0,C253/B253)</f>
        <v/>
      </c>
      <c r="E253">
        <f>IF($A253="","",SUMIFS(Orders_Log!$I:$I,Orders_Log!$C:$C,$A253))</f>
        <v/>
      </c>
      <c r="F253">
        <f>IF(B253=0,0,E253/B253)</f>
        <v/>
      </c>
      <c r="G253">
        <f>IF($A253="","",IFERROR(AVERAGEIFS(Orders_Log!$H:$H,Orders_Log!$C:$C,$A253,Orders_Log!$H:$H,"&gt;0"),0))</f>
        <v/>
      </c>
      <c r="H253">
        <f>IF($A253="","",COUNTIFS(Orders_Log!$C:$C,$A253,Orders_Log!$P:$P,"Returned to Picker"))</f>
        <v/>
      </c>
    </row>
    <row r="254">
      <c r="B254">
        <f>IF($A254="","",COUNTIFS(Orders_Log!$C:$C,$A254,Orders_Log!$B:$B,"&lt;&gt;"))</f>
        <v/>
      </c>
      <c r="C254">
        <f>IF($A254="","",COUNTIFS(Orders_Log!$C:$C,$A254,Orders_Log!$M:$M,"Yes"))</f>
        <v/>
      </c>
      <c r="D254" s="5">
        <f>IF(B254=0,0,C254/B254)</f>
        <v/>
      </c>
      <c r="E254">
        <f>IF($A254="","",SUMIFS(Orders_Log!$I:$I,Orders_Log!$C:$C,$A254))</f>
        <v/>
      </c>
      <c r="F254">
        <f>IF(B254=0,0,E254/B254)</f>
        <v/>
      </c>
      <c r="G254">
        <f>IF($A254="","",IFERROR(AVERAGEIFS(Orders_Log!$H:$H,Orders_Log!$C:$C,$A254,Orders_Log!$H:$H,"&gt;0"),0))</f>
        <v/>
      </c>
      <c r="H254">
        <f>IF($A254="","",COUNTIFS(Orders_Log!$C:$C,$A254,Orders_Log!$P:$P,"Returned to Picker"))</f>
        <v/>
      </c>
    </row>
    <row r="255">
      <c r="B255">
        <f>IF($A255="","",COUNTIFS(Orders_Log!$C:$C,$A255,Orders_Log!$B:$B,"&lt;&gt;"))</f>
        <v/>
      </c>
      <c r="C255">
        <f>IF($A255="","",COUNTIFS(Orders_Log!$C:$C,$A255,Orders_Log!$M:$M,"Yes"))</f>
        <v/>
      </c>
      <c r="D255" s="5">
        <f>IF(B255=0,0,C255/B255)</f>
        <v/>
      </c>
      <c r="E255">
        <f>IF($A255="","",SUMIFS(Orders_Log!$I:$I,Orders_Log!$C:$C,$A255))</f>
        <v/>
      </c>
      <c r="F255">
        <f>IF(B255=0,0,E255/B255)</f>
        <v/>
      </c>
      <c r="G255">
        <f>IF($A255="","",IFERROR(AVERAGEIFS(Orders_Log!$H:$H,Orders_Log!$C:$C,$A255,Orders_Log!$H:$H,"&gt;0"),0))</f>
        <v/>
      </c>
      <c r="H255">
        <f>IF($A255="","",COUNTIFS(Orders_Log!$C:$C,$A255,Orders_Log!$P:$P,"Returned to Picker"))</f>
        <v/>
      </c>
    </row>
    <row r="256">
      <c r="B256">
        <f>IF($A256="","",COUNTIFS(Orders_Log!$C:$C,$A256,Orders_Log!$B:$B,"&lt;&gt;"))</f>
        <v/>
      </c>
      <c r="C256">
        <f>IF($A256="","",COUNTIFS(Orders_Log!$C:$C,$A256,Orders_Log!$M:$M,"Yes"))</f>
        <v/>
      </c>
      <c r="D256" s="5">
        <f>IF(B256=0,0,C256/B256)</f>
        <v/>
      </c>
      <c r="E256">
        <f>IF($A256="","",SUMIFS(Orders_Log!$I:$I,Orders_Log!$C:$C,$A256))</f>
        <v/>
      </c>
      <c r="F256">
        <f>IF(B256=0,0,E256/B256)</f>
        <v/>
      </c>
      <c r="G256">
        <f>IF($A256="","",IFERROR(AVERAGEIFS(Orders_Log!$H:$H,Orders_Log!$C:$C,$A256,Orders_Log!$H:$H,"&gt;0"),0))</f>
        <v/>
      </c>
      <c r="H256">
        <f>IF($A256="","",COUNTIFS(Orders_Log!$C:$C,$A256,Orders_Log!$P:$P,"Returned to Picker"))</f>
        <v/>
      </c>
    </row>
    <row r="257">
      <c r="B257">
        <f>IF($A257="","",COUNTIFS(Orders_Log!$C:$C,$A257,Orders_Log!$B:$B,"&lt;&gt;"))</f>
        <v/>
      </c>
      <c r="C257">
        <f>IF($A257="","",COUNTIFS(Orders_Log!$C:$C,$A257,Orders_Log!$M:$M,"Yes"))</f>
        <v/>
      </c>
      <c r="D257" s="5">
        <f>IF(B257=0,0,C257/B257)</f>
        <v/>
      </c>
      <c r="E257">
        <f>IF($A257="","",SUMIFS(Orders_Log!$I:$I,Orders_Log!$C:$C,$A257))</f>
        <v/>
      </c>
      <c r="F257">
        <f>IF(B257=0,0,E257/B257)</f>
        <v/>
      </c>
      <c r="G257">
        <f>IF($A257="","",IFERROR(AVERAGEIFS(Orders_Log!$H:$H,Orders_Log!$C:$C,$A257,Orders_Log!$H:$H,"&gt;0"),0))</f>
        <v/>
      </c>
      <c r="H257">
        <f>IF($A257="","",COUNTIFS(Orders_Log!$C:$C,$A257,Orders_Log!$P:$P,"Returned to Picker"))</f>
        <v/>
      </c>
    </row>
    <row r="258">
      <c r="B258">
        <f>IF($A258="","",COUNTIFS(Orders_Log!$C:$C,$A258,Orders_Log!$B:$B,"&lt;&gt;"))</f>
        <v/>
      </c>
      <c r="C258">
        <f>IF($A258="","",COUNTIFS(Orders_Log!$C:$C,$A258,Orders_Log!$M:$M,"Yes"))</f>
        <v/>
      </c>
      <c r="D258" s="5">
        <f>IF(B258=0,0,C258/B258)</f>
        <v/>
      </c>
      <c r="E258">
        <f>IF($A258="","",SUMIFS(Orders_Log!$I:$I,Orders_Log!$C:$C,$A258))</f>
        <v/>
      </c>
      <c r="F258">
        <f>IF(B258=0,0,E258/B258)</f>
        <v/>
      </c>
      <c r="G258">
        <f>IF($A258="","",IFERROR(AVERAGEIFS(Orders_Log!$H:$H,Orders_Log!$C:$C,$A258,Orders_Log!$H:$H,"&gt;0"),0))</f>
        <v/>
      </c>
      <c r="H258">
        <f>IF($A258="","",COUNTIFS(Orders_Log!$C:$C,$A258,Orders_Log!$P:$P,"Returned to Picker"))</f>
        <v/>
      </c>
    </row>
    <row r="259">
      <c r="B259">
        <f>IF($A259="","",COUNTIFS(Orders_Log!$C:$C,$A259,Orders_Log!$B:$B,"&lt;&gt;"))</f>
        <v/>
      </c>
      <c r="C259">
        <f>IF($A259="","",COUNTIFS(Orders_Log!$C:$C,$A259,Orders_Log!$M:$M,"Yes"))</f>
        <v/>
      </c>
      <c r="D259" s="5">
        <f>IF(B259=0,0,C259/B259)</f>
        <v/>
      </c>
      <c r="E259">
        <f>IF($A259="","",SUMIFS(Orders_Log!$I:$I,Orders_Log!$C:$C,$A259))</f>
        <v/>
      </c>
      <c r="F259">
        <f>IF(B259=0,0,E259/B259)</f>
        <v/>
      </c>
      <c r="G259">
        <f>IF($A259="","",IFERROR(AVERAGEIFS(Orders_Log!$H:$H,Orders_Log!$C:$C,$A259,Orders_Log!$H:$H,"&gt;0"),0))</f>
        <v/>
      </c>
      <c r="H259">
        <f>IF($A259="","",COUNTIFS(Orders_Log!$C:$C,$A259,Orders_Log!$P:$P,"Returned to Picker"))</f>
        <v/>
      </c>
    </row>
    <row r="260">
      <c r="B260">
        <f>IF($A260="","",COUNTIFS(Orders_Log!$C:$C,$A260,Orders_Log!$B:$B,"&lt;&gt;"))</f>
        <v/>
      </c>
      <c r="C260">
        <f>IF($A260="","",COUNTIFS(Orders_Log!$C:$C,$A260,Orders_Log!$M:$M,"Yes"))</f>
        <v/>
      </c>
      <c r="D260" s="5">
        <f>IF(B260=0,0,C260/B260)</f>
        <v/>
      </c>
      <c r="E260">
        <f>IF($A260="","",SUMIFS(Orders_Log!$I:$I,Orders_Log!$C:$C,$A260))</f>
        <v/>
      </c>
      <c r="F260">
        <f>IF(B260=0,0,E260/B260)</f>
        <v/>
      </c>
      <c r="G260">
        <f>IF($A260="","",IFERROR(AVERAGEIFS(Orders_Log!$H:$H,Orders_Log!$C:$C,$A260,Orders_Log!$H:$H,"&gt;0"),0))</f>
        <v/>
      </c>
      <c r="H260">
        <f>IF($A260="","",COUNTIFS(Orders_Log!$C:$C,$A260,Orders_Log!$P:$P,"Returned to Picker"))</f>
        <v/>
      </c>
    </row>
    <row r="261">
      <c r="B261">
        <f>IF($A261="","",COUNTIFS(Orders_Log!$C:$C,$A261,Orders_Log!$B:$B,"&lt;&gt;"))</f>
        <v/>
      </c>
      <c r="C261">
        <f>IF($A261="","",COUNTIFS(Orders_Log!$C:$C,$A261,Orders_Log!$M:$M,"Yes"))</f>
        <v/>
      </c>
      <c r="D261" s="5">
        <f>IF(B261=0,0,C261/B261)</f>
        <v/>
      </c>
      <c r="E261">
        <f>IF($A261="","",SUMIFS(Orders_Log!$I:$I,Orders_Log!$C:$C,$A261))</f>
        <v/>
      </c>
      <c r="F261">
        <f>IF(B261=0,0,E261/B261)</f>
        <v/>
      </c>
      <c r="G261">
        <f>IF($A261="","",IFERROR(AVERAGEIFS(Orders_Log!$H:$H,Orders_Log!$C:$C,$A261,Orders_Log!$H:$H,"&gt;0"),0))</f>
        <v/>
      </c>
      <c r="H261">
        <f>IF($A261="","",COUNTIFS(Orders_Log!$C:$C,$A261,Orders_Log!$P:$P,"Returned to Picker"))</f>
        <v/>
      </c>
    </row>
    <row r="262">
      <c r="B262">
        <f>IF($A262="","",COUNTIFS(Orders_Log!$C:$C,$A262,Orders_Log!$B:$B,"&lt;&gt;"))</f>
        <v/>
      </c>
      <c r="C262">
        <f>IF($A262="","",COUNTIFS(Orders_Log!$C:$C,$A262,Orders_Log!$M:$M,"Yes"))</f>
        <v/>
      </c>
      <c r="D262" s="5">
        <f>IF(B262=0,0,C262/B262)</f>
        <v/>
      </c>
      <c r="E262">
        <f>IF($A262="","",SUMIFS(Orders_Log!$I:$I,Orders_Log!$C:$C,$A262))</f>
        <v/>
      </c>
      <c r="F262">
        <f>IF(B262=0,0,E262/B262)</f>
        <v/>
      </c>
      <c r="G262">
        <f>IF($A262="","",IFERROR(AVERAGEIFS(Orders_Log!$H:$H,Orders_Log!$C:$C,$A262,Orders_Log!$H:$H,"&gt;0"),0))</f>
        <v/>
      </c>
      <c r="H262">
        <f>IF($A262="","",COUNTIFS(Orders_Log!$C:$C,$A262,Orders_Log!$P:$P,"Returned to Picker"))</f>
        <v/>
      </c>
    </row>
    <row r="263">
      <c r="B263">
        <f>IF($A263="","",COUNTIFS(Orders_Log!$C:$C,$A263,Orders_Log!$B:$B,"&lt;&gt;"))</f>
        <v/>
      </c>
      <c r="C263">
        <f>IF($A263="","",COUNTIFS(Orders_Log!$C:$C,$A263,Orders_Log!$M:$M,"Yes"))</f>
        <v/>
      </c>
      <c r="D263" s="5">
        <f>IF(B263=0,0,C263/B263)</f>
        <v/>
      </c>
      <c r="E263">
        <f>IF($A263="","",SUMIFS(Orders_Log!$I:$I,Orders_Log!$C:$C,$A263))</f>
        <v/>
      </c>
      <c r="F263">
        <f>IF(B263=0,0,E263/B263)</f>
        <v/>
      </c>
      <c r="G263">
        <f>IF($A263="","",IFERROR(AVERAGEIFS(Orders_Log!$H:$H,Orders_Log!$C:$C,$A263,Orders_Log!$H:$H,"&gt;0"),0))</f>
        <v/>
      </c>
      <c r="H263">
        <f>IF($A263="","",COUNTIFS(Orders_Log!$C:$C,$A263,Orders_Log!$P:$P,"Returned to Picker"))</f>
        <v/>
      </c>
    </row>
    <row r="264">
      <c r="B264">
        <f>IF($A264="","",COUNTIFS(Orders_Log!$C:$C,$A264,Orders_Log!$B:$B,"&lt;&gt;"))</f>
        <v/>
      </c>
      <c r="C264">
        <f>IF($A264="","",COUNTIFS(Orders_Log!$C:$C,$A264,Orders_Log!$M:$M,"Yes"))</f>
        <v/>
      </c>
      <c r="D264" s="5">
        <f>IF(B264=0,0,C264/B264)</f>
        <v/>
      </c>
      <c r="E264">
        <f>IF($A264="","",SUMIFS(Orders_Log!$I:$I,Orders_Log!$C:$C,$A264))</f>
        <v/>
      </c>
      <c r="F264">
        <f>IF(B264=0,0,E264/B264)</f>
        <v/>
      </c>
      <c r="G264">
        <f>IF($A264="","",IFERROR(AVERAGEIFS(Orders_Log!$H:$H,Orders_Log!$C:$C,$A264,Orders_Log!$H:$H,"&gt;0"),0))</f>
        <v/>
      </c>
      <c r="H264">
        <f>IF($A264="","",COUNTIFS(Orders_Log!$C:$C,$A264,Orders_Log!$P:$P,"Returned to Picker"))</f>
        <v/>
      </c>
    </row>
    <row r="265">
      <c r="B265">
        <f>IF($A265="","",COUNTIFS(Orders_Log!$C:$C,$A265,Orders_Log!$B:$B,"&lt;&gt;"))</f>
        <v/>
      </c>
      <c r="C265">
        <f>IF($A265="","",COUNTIFS(Orders_Log!$C:$C,$A265,Orders_Log!$M:$M,"Yes"))</f>
        <v/>
      </c>
      <c r="D265" s="5">
        <f>IF(B265=0,0,C265/B265)</f>
        <v/>
      </c>
      <c r="E265">
        <f>IF($A265="","",SUMIFS(Orders_Log!$I:$I,Orders_Log!$C:$C,$A265))</f>
        <v/>
      </c>
      <c r="F265">
        <f>IF(B265=0,0,E265/B265)</f>
        <v/>
      </c>
      <c r="G265">
        <f>IF($A265="","",IFERROR(AVERAGEIFS(Orders_Log!$H:$H,Orders_Log!$C:$C,$A265,Orders_Log!$H:$H,"&gt;0"),0))</f>
        <v/>
      </c>
      <c r="H265">
        <f>IF($A265="","",COUNTIFS(Orders_Log!$C:$C,$A265,Orders_Log!$P:$P,"Returned to Picker"))</f>
        <v/>
      </c>
    </row>
    <row r="266">
      <c r="B266">
        <f>IF($A266="","",COUNTIFS(Orders_Log!$C:$C,$A266,Orders_Log!$B:$B,"&lt;&gt;"))</f>
        <v/>
      </c>
      <c r="C266">
        <f>IF($A266="","",COUNTIFS(Orders_Log!$C:$C,$A266,Orders_Log!$M:$M,"Yes"))</f>
        <v/>
      </c>
      <c r="D266" s="5">
        <f>IF(B266=0,0,C266/B266)</f>
        <v/>
      </c>
      <c r="E266">
        <f>IF($A266="","",SUMIFS(Orders_Log!$I:$I,Orders_Log!$C:$C,$A266))</f>
        <v/>
      </c>
      <c r="F266">
        <f>IF(B266=0,0,E266/B266)</f>
        <v/>
      </c>
      <c r="G266">
        <f>IF($A266="","",IFERROR(AVERAGEIFS(Orders_Log!$H:$H,Orders_Log!$C:$C,$A266,Orders_Log!$H:$H,"&gt;0"),0))</f>
        <v/>
      </c>
      <c r="H266">
        <f>IF($A266="","",COUNTIFS(Orders_Log!$C:$C,$A266,Orders_Log!$P:$P,"Returned to Picker"))</f>
        <v/>
      </c>
    </row>
    <row r="267">
      <c r="B267">
        <f>IF($A267="","",COUNTIFS(Orders_Log!$C:$C,$A267,Orders_Log!$B:$B,"&lt;&gt;"))</f>
        <v/>
      </c>
      <c r="C267">
        <f>IF($A267="","",COUNTIFS(Orders_Log!$C:$C,$A267,Orders_Log!$M:$M,"Yes"))</f>
        <v/>
      </c>
      <c r="D267" s="5">
        <f>IF(B267=0,0,C267/B267)</f>
        <v/>
      </c>
      <c r="E267">
        <f>IF($A267="","",SUMIFS(Orders_Log!$I:$I,Orders_Log!$C:$C,$A267))</f>
        <v/>
      </c>
      <c r="F267">
        <f>IF(B267=0,0,E267/B267)</f>
        <v/>
      </c>
      <c r="G267">
        <f>IF($A267="","",IFERROR(AVERAGEIFS(Orders_Log!$H:$H,Orders_Log!$C:$C,$A267,Orders_Log!$H:$H,"&gt;0"),0))</f>
        <v/>
      </c>
      <c r="H267">
        <f>IF($A267="","",COUNTIFS(Orders_Log!$C:$C,$A267,Orders_Log!$P:$P,"Returned to Picker"))</f>
        <v/>
      </c>
    </row>
    <row r="268">
      <c r="B268">
        <f>IF($A268="","",COUNTIFS(Orders_Log!$C:$C,$A268,Orders_Log!$B:$B,"&lt;&gt;"))</f>
        <v/>
      </c>
      <c r="C268">
        <f>IF($A268="","",COUNTIFS(Orders_Log!$C:$C,$A268,Orders_Log!$M:$M,"Yes"))</f>
        <v/>
      </c>
      <c r="D268" s="5">
        <f>IF(B268=0,0,C268/B268)</f>
        <v/>
      </c>
      <c r="E268">
        <f>IF($A268="","",SUMIFS(Orders_Log!$I:$I,Orders_Log!$C:$C,$A268))</f>
        <v/>
      </c>
      <c r="F268">
        <f>IF(B268=0,0,E268/B268)</f>
        <v/>
      </c>
      <c r="G268">
        <f>IF($A268="","",IFERROR(AVERAGEIFS(Orders_Log!$H:$H,Orders_Log!$C:$C,$A268,Orders_Log!$H:$H,"&gt;0"),0))</f>
        <v/>
      </c>
      <c r="H268">
        <f>IF($A268="","",COUNTIFS(Orders_Log!$C:$C,$A268,Orders_Log!$P:$P,"Returned to Picker"))</f>
        <v/>
      </c>
    </row>
    <row r="269">
      <c r="B269">
        <f>IF($A269="","",COUNTIFS(Orders_Log!$C:$C,$A269,Orders_Log!$B:$B,"&lt;&gt;"))</f>
        <v/>
      </c>
      <c r="C269">
        <f>IF($A269="","",COUNTIFS(Orders_Log!$C:$C,$A269,Orders_Log!$M:$M,"Yes"))</f>
        <v/>
      </c>
      <c r="D269" s="5">
        <f>IF(B269=0,0,C269/B269)</f>
        <v/>
      </c>
      <c r="E269">
        <f>IF($A269="","",SUMIFS(Orders_Log!$I:$I,Orders_Log!$C:$C,$A269))</f>
        <v/>
      </c>
      <c r="F269">
        <f>IF(B269=0,0,E269/B269)</f>
        <v/>
      </c>
      <c r="G269">
        <f>IF($A269="","",IFERROR(AVERAGEIFS(Orders_Log!$H:$H,Orders_Log!$C:$C,$A269,Orders_Log!$H:$H,"&gt;0"),0))</f>
        <v/>
      </c>
      <c r="H269">
        <f>IF($A269="","",COUNTIFS(Orders_Log!$C:$C,$A269,Orders_Log!$P:$P,"Returned to Picker"))</f>
        <v/>
      </c>
    </row>
    <row r="270">
      <c r="B270">
        <f>IF($A270="","",COUNTIFS(Orders_Log!$C:$C,$A270,Orders_Log!$B:$B,"&lt;&gt;"))</f>
        <v/>
      </c>
      <c r="C270">
        <f>IF($A270="","",COUNTIFS(Orders_Log!$C:$C,$A270,Orders_Log!$M:$M,"Yes"))</f>
        <v/>
      </c>
      <c r="D270" s="5">
        <f>IF(B270=0,0,C270/B270)</f>
        <v/>
      </c>
      <c r="E270">
        <f>IF($A270="","",SUMIFS(Orders_Log!$I:$I,Orders_Log!$C:$C,$A270))</f>
        <v/>
      </c>
      <c r="F270">
        <f>IF(B270=0,0,E270/B270)</f>
        <v/>
      </c>
      <c r="G270">
        <f>IF($A270="","",IFERROR(AVERAGEIFS(Orders_Log!$H:$H,Orders_Log!$C:$C,$A270,Orders_Log!$H:$H,"&gt;0"),0))</f>
        <v/>
      </c>
      <c r="H270">
        <f>IF($A270="","",COUNTIFS(Orders_Log!$C:$C,$A270,Orders_Log!$P:$P,"Returned to Picker"))</f>
        <v/>
      </c>
    </row>
    <row r="271">
      <c r="B271">
        <f>IF($A271="","",COUNTIFS(Orders_Log!$C:$C,$A271,Orders_Log!$B:$B,"&lt;&gt;"))</f>
        <v/>
      </c>
      <c r="C271">
        <f>IF($A271="","",COUNTIFS(Orders_Log!$C:$C,$A271,Orders_Log!$M:$M,"Yes"))</f>
        <v/>
      </c>
      <c r="D271" s="5">
        <f>IF(B271=0,0,C271/B271)</f>
        <v/>
      </c>
      <c r="E271">
        <f>IF($A271="","",SUMIFS(Orders_Log!$I:$I,Orders_Log!$C:$C,$A271))</f>
        <v/>
      </c>
      <c r="F271">
        <f>IF(B271=0,0,E271/B271)</f>
        <v/>
      </c>
      <c r="G271">
        <f>IF($A271="","",IFERROR(AVERAGEIFS(Orders_Log!$H:$H,Orders_Log!$C:$C,$A271,Orders_Log!$H:$H,"&gt;0"),0))</f>
        <v/>
      </c>
      <c r="H271">
        <f>IF($A271="","",COUNTIFS(Orders_Log!$C:$C,$A271,Orders_Log!$P:$P,"Returned to Picker"))</f>
        <v/>
      </c>
    </row>
    <row r="272">
      <c r="B272">
        <f>IF($A272="","",COUNTIFS(Orders_Log!$C:$C,$A272,Orders_Log!$B:$B,"&lt;&gt;"))</f>
        <v/>
      </c>
      <c r="C272">
        <f>IF($A272="","",COUNTIFS(Orders_Log!$C:$C,$A272,Orders_Log!$M:$M,"Yes"))</f>
        <v/>
      </c>
      <c r="D272" s="5">
        <f>IF(B272=0,0,C272/B272)</f>
        <v/>
      </c>
      <c r="E272">
        <f>IF($A272="","",SUMIFS(Orders_Log!$I:$I,Orders_Log!$C:$C,$A272))</f>
        <v/>
      </c>
      <c r="F272">
        <f>IF(B272=0,0,E272/B272)</f>
        <v/>
      </c>
      <c r="G272">
        <f>IF($A272="","",IFERROR(AVERAGEIFS(Orders_Log!$H:$H,Orders_Log!$C:$C,$A272,Orders_Log!$H:$H,"&gt;0"),0))</f>
        <v/>
      </c>
      <c r="H272">
        <f>IF($A272="","",COUNTIFS(Orders_Log!$C:$C,$A272,Orders_Log!$P:$P,"Returned to Picker"))</f>
        <v/>
      </c>
    </row>
    <row r="273">
      <c r="B273">
        <f>IF($A273="","",COUNTIFS(Orders_Log!$C:$C,$A273,Orders_Log!$B:$B,"&lt;&gt;"))</f>
        <v/>
      </c>
      <c r="C273">
        <f>IF($A273="","",COUNTIFS(Orders_Log!$C:$C,$A273,Orders_Log!$M:$M,"Yes"))</f>
        <v/>
      </c>
      <c r="D273" s="5">
        <f>IF(B273=0,0,C273/B273)</f>
        <v/>
      </c>
      <c r="E273">
        <f>IF($A273="","",SUMIFS(Orders_Log!$I:$I,Orders_Log!$C:$C,$A273))</f>
        <v/>
      </c>
      <c r="F273">
        <f>IF(B273=0,0,E273/B273)</f>
        <v/>
      </c>
      <c r="G273">
        <f>IF($A273="","",IFERROR(AVERAGEIFS(Orders_Log!$H:$H,Orders_Log!$C:$C,$A273,Orders_Log!$H:$H,"&gt;0"),0))</f>
        <v/>
      </c>
      <c r="H273">
        <f>IF($A273="","",COUNTIFS(Orders_Log!$C:$C,$A273,Orders_Log!$P:$P,"Returned to Picker"))</f>
        <v/>
      </c>
    </row>
    <row r="274">
      <c r="B274">
        <f>IF($A274="","",COUNTIFS(Orders_Log!$C:$C,$A274,Orders_Log!$B:$B,"&lt;&gt;"))</f>
        <v/>
      </c>
      <c r="C274">
        <f>IF($A274="","",COUNTIFS(Orders_Log!$C:$C,$A274,Orders_Log!$M:$M,"Yes"))</f>
        <v/>
      </c>
      <c r="D274" s="5">
        <f>IF(B274=0,0,C274/B274)</f>
        <v/>
      </c>
      <c r="E274">
        <f>IF($A274="","",SUMIFS(Orders_Log!$I:$I,Orders_Log!$C:$C,$A274))</f>
        <v/>
      </c>
      <c r="F274">
        <f>IF(B274=0,0,E274/B274)</f>
        <v/>
      </c>
      <c r="G274">
        <f>IF($A274="","",IFERROR(AVERAGEIFS(Orders_Log!$H:$H,Orders_Log!$C:$C,$A274,Orders_Log!$H:$H,"&gt;0"),0))</f>
        <v/>
      </c>
      <c r="H274">
        <f>IF($A274="","",COUNTIFS(Orders_Log!$C:$C,$A274,Orders_Log!$P:$P,"Returned to Picker"))</f>
        <v/>
      </c>
    </row>
    <row r="275">
      <c r="B275">
        <f>IF($A275="","",COUNTIFS(Orders_Log!$C:$C,$A275,Orders_Log!$B:$B,"&lt;&gt;"))</f>
        <v/>
      </c>
      <c r="C275">
        <f>IF($A275="","",COUNTIFS(Orders_Log!$C:$C,$A275,Orders_Log!$M:$M,"Yes"))</f>
        <v/>
      </c>
      <c r="D275" s="5">
        <f>IF(B275=0,0,C275/B275)</f>
        <v/>
      </c>
      <c r="E275">
        <f>IF($A275="","",SUMIFS(Orders_Log!$I:$I,Orders_Log!$C:$C,$A275))</f>
        <v/>
      </c>
      <c r="F275">
        <f>IF(B275=0,0,E275/B275)</f>
        <v/>
      </c>
      <c r="G275">
        <f>IF($A275="","",IFERROR(AVERAGEIFS(Orders_Log!$H:$H,Orders_Log!$C:$C,$A275,Orders_Log!$H:$H,"&gt;0"),0))</f>
        <v/>
      </c>
      <c r="H275">
        <f>IF($A275="","",COUNTIFS(Orders_Log!$C:$C,$A275,Orders_Log!$P:$P,"Returned to Picker"))</f>
        <v/>
      </c>
    </row>
    <row r="276">
      <c r="B276">
        <f>IF($A276="","",COUNTIFS(Orders_Log!$C:$C,$A276,Orders_Log!$B:$B,"&lt;&gt;"))</f>
        <v/>
      </c>
      <c r="C276">
        <f>IF($A276="","",COUNTIFS(Orders_Log!$C:$C,$A276,Orders_Log!$M:$M,"Yes"))</f>
        <v/>
      </c>
      <c r="D276" s="5">
        <f>IF(B276=0,0,C276/B276)</f>
        <v/>
      </c>
      <c r="E276">
        <f>IF($A276="","",SUMIFS(Orders_Log!$I:$I,Orders_Log!$C:$C,$A276))</f>
        <v/>
      </c>
      <c r="F276">
        <f>IF(B276=0,0,E276/B276)</f>
        <v/>
      </c>
      <c r="G276">
        <f>IF($A276="","",IFERROR(AVERAGEIFS(Orders_Log!$H:$H,Orders_Log!$C:$C,$A276,Orders_Log!$H:$H,"&gt;0"),0))</f>
        <v/>
      </c>
      <c r="H276">
        <f>IF($A276="","",COUNTIFS(Orders_Log!$C:$C,$A276,Orders_Log!$P:$P,"Returned to Picker"))</f>
        <v/>
      </c>
    </row>
    <row r="277">
      <c r="B277">
        <f>IF($A277="","",COUNTIFS(Orders_Log!$C:$C,$A277,Orders_Log!$B:$B,"&lt;&gt;"))</f>
        <v/>
      </c>
      <c r="C277">
        <f>IF($A277="","",COUNTIFS(Orders_Log!$C:$C,$A277,Orders_Log!$M:$M,"Yes"))</f>
        <v/>
      </c>
      <c r="D277" s="5">
        <f>IF(B277=0,0,C277/B277)</f>
        <v/>
      </c>
      <c r="E277">
        <f>IF($A277="","",SUMIFS(Orders_Log!$I:$I,Orders_Log!$C:$C,$A277))</f>
        <v/>
      </c>
      <c r="F277">
        <f>IF(B277=0,0,E277/B277)</f>
        <v/>
      </c>
      <c r="G277">
        <f>IF($A277="","",IFERROR(AVERAGEIFS(Orders_Log!$H:$H,Orders_Log!$C:$C,$A277,Orders_Log!$H:$H,"&gt;0"),0))</f>
        <v/>
      </c>
      <c r="H277">
        <f>IF($A277="","",COUNTIFS(Orders_Log!$C:$C,$A277,Orders_Log!$P:$P,"Returned to Picker"))</f>
        <v/>
      </c>
    </row>
    <row r="278">
      <c r="B278">
        <f>IF($A278="","",COUNTIFS(Orders_Log!$C:$C,$A278,Orders_Log!$B:$B,"&lt;&gt;"))</f>
        <v/>
      </c>
      <c r="C278">
        <f>IF($A278="","",COUNTIFS(Orders_Log!$C:$C,$A278,Orders_Log!$M:$M,"Yes"))</f>
        <v/>
      </c>
      <c r="D278" s="5">
        <f>IF(B278=0,0,C278/B278)</f>
        <v/>
      </c>
      <c r="E278">
        <f>IF($A278="","",SUMIFS(Orders_Log!$I:$I,Orders_Log!$C:$C,$A278))</f>
        <v/>
      </c>
      <c r="F278">
        <f>IF(B278=0,0,E278/B278)</f>
        <v/>
      </c>
      <c r="G278">
        <f>IF($A278="","",IFERROR(AVERAGEIFS(Orders_Log!$H:$H,Orders_Log!$C:$C,$A278,Orders_Log!$H:$H,"&gt;0"),0))</f>
        <v/>
      </c>
      <c r="H278">
        <f>IF($A278="","",COUNTIFS(Orders_Log!$C:$C,$A278,Orders_Log!$P:$P,"Returned to Picker"))</f>
        <v/>
      </c>
    </row>
    <row r="279">
      <c r="B279">
        <f>IF($A279="","",COUNTIFS(Orders_Log!$C:$C,$A279,Orders_Log!$B:$B,"&lt;&gt;"))</f>
        <v/>
      </c>
      <c r="C279">
        <f>IF($A279="","",COUNTIFS(Orders_Log!$C:$C,$A279,Orders_Log!$M:$M,"Yes"))</f>
        <v/>
      </c>
      <c r="D279" s="5">
        <f>IF(B279=0,0,C279/B279)</f>
        <v/>
      </c>
      <c r="E279">
        <f>IF($A279="","",SUMIFS(Orders_Log!$I:$I,Orders_Log!$C:$C,$A279))</f>
        <v/>
      </c>
      <c r="F279">
        <f>IF(B279=0,0,E279/B279)</f>
        <v/>
      </c>
      <c r="G279">
        <f>IF($A279="","",IFERROR(AVERAGEIFS(Orders_Log!$H:$H,Orders_Log!$C:$C,$A279,Orders_Log!$H:$H,"&gt;0"),0))</f>
        <v/>
      </c>
      <c r="H279">
        <f>IF($A279="","",COUNTIFS(Orders_Log!$C:$C,$A279,Orders_Log!$P:$P,"Returned to Picker"))</f>
        <v/>
      </c>
    </row>
    <row r="280">
      <c r="B280">
        <f>IF($A280="","",COUNTIFS(Orders_Log!$C:$C,$A280,Orders_Log!$B:$B,"&lt;&gt;"))</f>
        <v/>
      </c>
      <c r="C280">
        <f>IF($A280="","",COUNTIFS(Orders_Log!$C:$C,$A280,Orders_Log!$M:$M,"Yes"))</f>
        <v/>
      </c>
      <c r="D280" s="5">
        <f>IF(B280=0,0,C280/B280)</f>
        <v/>
      </c>
      <c r="E280">
        <f>IF($A280="","",SUMIFS(Orders_Log!$I:$I,Orders_Log!$C:$C,$A280))</f>
        <v/>
      </c>
      <c r="F280">
        <f>IF(B280=0,0,E280/B280)</f>
        <v/>
      </c>
      <c r="G280">
        <f>IF($A280="","",IFERROR(AVERAGEIFS(Orders_Log!$H:$H,Orders_Log!$C:$C,$A280,Orders_Log!$H:$H,"&gt;0"),0))</f>
        <v/>
      </c>
      <c r="H280">
        <f>IF($A280="","",COUNTIFS(Orders_Log!$C:$C,$A280,Orders_Log!$P:$P,"Returned to Picker"))</f>
        <v/>
      </c>
    </row>
    <row r="281">
      <c r="B281">
        <f>IF($A281="","",COUNTIFS(Orders_Log!$C:$C,$A281,Orders_Log!$B:$B,"&lt;&gt;"))</f>
        <v/>
      </c>
      <c r="C281">
        <f>IF($A281="","",COUNTIFS(Orders_Log!$C:$C,$A281,Orders_Log!$M:$M,"Yes"))</f>
        <v/>
      </c>
      <c r="D281" s="5">
        <f>IF(B281=0,0,C281/B281)</f>
        <v/>
      </c>
      <c r="E281">
        <f>IF($A281="","",SUMIFS(Orders_Log!$I:$I,Orders_Log!$C:$C,$A281))</f>
        <v/>
      </c>
      <c r="F281">
        <f>IF(B281=0,0,E281/B281)</f>
        <v/>
      </c>
      <c r="G281">
        <f>IF($A281="","",IFERROR(AVERAGEIFS(Orders_Log!$H:$H,Orders_Log!$C:$C,$A281,Orders_Log!$H:$H,"&gt;0"),0))</f>
        <v/>
      </c>
      <c r="H281">
        <f>IF($A281="","",COUNTIFS(Orders_Log!$C:$C,$A281,Orders_Log!$P:$P,"Returned to Picker"))</f>
        <v/>
      </c>
    </row>
    <row r="282">
      <c r="B282">
        <f>IF($A282="","",COUNTIFS(Orders_Log!$C:$C,$A282,Orders_Log!$B:$B,"&lt;&gt;"))</f>
        <v/>
      </c>
      <c r="C282">
        <f>IF($A282="","",COUNTIFS(Orders_Log!$C:$C,$A282,Orders_Log!$M:$M,"Yes"))</f>
        <v/>
      </c>
      <c r="D282" s="5">
        <f>IF(B282=0,0,C282/B282)</f>
        <v/>
      </c>
      <c r="E282">
        <f>IF($A282="","",SUMIFS(Orders_Log!$I:$I,Orders_Log!$C:$C,$A282))</f>
        <v/>
      </c>
      <c r="F282">
        <f>IF(B282=0,0,E282/B282)</f>
        <v/>
      </c>
      <c r="G282">
        <f>IF($A282="","",IFERROR(AVERAGEIFS(Orders_Log!$H:$H,Orders_Log!$C:$C,$A282,Orders_Log!$H:$H,"&gt;0"),0))</f>
        <v/>
      </c>
      <c r="H282">
        <f>IF($A282="","",COUNTIFS(Orders_Log!$C:$C,$A282,Orders_Log!$P:$P,"Returned to Picker"))</f>
        <v/>
      </c>
    </row>
    <row r="283">
      <c r="B283">
        <f>IF($A283="","",COUNTIFS(Orders_Log!$C:$C,$A283,Orders_Log!$B:$B,"&lt;&gt;"))</f>
        <v/>
      </c>
      <c r="C283">
        <f>IF($A283="","",COUNTIFS(Orders_Log!$C:$C,$A283,Orders_Log!$M:$M,"Yes"))</f>
        <v/>
      </c>
      <c r="D283" s="5">
        <f>IF(B283=0,0,C283/B283)</f>
        <v/>
      </c>
      <c r="E283">
        <f>IF($A283="","",SUMIFS(Orders_Log!$I:$I,Orders_Log!$C:$C,$A283))</f>
        <v/>
      </c>
      <c r="F283">
        <f>IF(B283=0,0,E283/B283)</f>
        <v/>
      </c>
      <c r="G283">
        <f>IF($A283="","",IFERROR(AVERAGEIFS(Orders_Log!$H:$H,Orders_Log!$C:$C,$A283,Orders_Log!$H:$H,"&gt;0"),0))</f>
        <v/>
      </c>
      <c r="H283">
        <f>IF($A283="","",COUNTIFS(Orders_Log!$C:$C,$A283,Orders_Log!$P:$P,"Returned to Picker"))</f>
        <v/>
      </c>
    </row>
    <row r="284">
      <c r="B284">
        <f>IF($A284="","",COUNTIFS(Orders_Log!$C:$C,$A284,Orders_Log!$B:$B,"&lt;&gt;"))</f>
        <v/>
      </c>
      <c r="C284">
        <f>IF($A284="","",COUNTIFS(Orders_Log!$C:$C,$A284,Orders_Log!$M:$M,"Yes"))</f>
        <v/>
      </c>
      <c r="D284" s="5">
        <f>IF(B284=0,0,C284/B284)</f>
        <v/>
      </c>
      <c r="E284">
        <f>IF($A284="","",SUMIFS(Orders_Log!$I:$I,Orders_Log!$C:$C,$A284))</f>
        <v/>
      </c>
      <c r="F284">
        <f>IF(B284=0,0,E284/B284)</f>
        <v/>
      </c>
      <c r="G284">
        <f>IF($A284="","",IFERROR(AVERAGEIFS(Orders_Log!$H:$H,Orders_Log!$C:$C,$A284,Orders_Log!$H:$H,"&gt;0"),0))</f>
        <v/>
      </c>
      <c r="H284">
        <f>IF($A284="","",COUNTIFS(Orders_Log!$C:$C,$A284,Orders_Log!$P:$P,"Returned to Picker"))</f>
        <v/>
      </c>
    </row>
    <row r="285">
      <c r="B285">
        <f>IF($A285="","",COUNTIFS(Orders_Log!$C:$C,$A285,Orders_Log!$B:$B,"&lt;&gt;"))</f>
        <v/>
      </c>
      <c r="C285">
        <f>IF($A285="","",COUNTIFS(Orders_Log!$C:$C,$A285,Orders_Log!$M:$M,"Yes"))</f>
        <v/>
      </c>
      <c r="D285" s="5">
        <f>IF(B285=0,0,C285/B285)</f>
        <v/>
      </c>
      <c r="E285">
        <f>IF($A285="","",SUMIFS(Orders_Log!$I:$I,Orders_Log!$C:$C,$A285))</f>
        <v/>
      </c>
      <c r="F285">
        <f>IF(B285=0,0,E285/B285)</f>
        <v/>
      </c>
      <c r="G285">
        <f>IF($A285="","",IFERROR(AVERAGEIFS(Orders_Log!$H:$H,Orders_Log!$C:$C,$A285,Orders_Log!$H:$H,"&gt;0"),0))</f>
        <v/>
      </c>
      <c r="H285">
        <f>IF($A285="","",COUNTIFS(Orders_Log!$C:$C,$A285,Orders_Log!$P:$P,"Returned to Picker"))</f>
        <v/>
      </c>
    </row>
    <row r="286">
      <c r="B286">
        <f>IF($A286="","",COUNTIFS(Orders_Log!$C:$C,$A286,Orders_Log!$B:$B,"&lt;&gt;"))</f>
        <v/>
      </c>
      <c r="C286">
        <f>IF($A286="","",COUNTIFS(Orders_Log!$C:$C,$A286,Orders_Log!$M:$M,"Yes"))</f>
        <v/>
      </c>
      <c r="D286" s="5">
        <f>IF(B286=0,0,C286/B286)</f>
        <v/>
      </c>
      <c r="E286">
        <f>IF($A286="","",SUMIFS(Orders_Log!$I:$I,Orders_Log!$C:$C,$A286))</f>
        <v/>
      </c>
      <c r="F286">
        <f>IF(B286=0,0,E286/B286)</f>
        <v/>
      </c>
      <c r="G286">
        <f>IF($A286="","",IFERROR(AVERAGEIFS(Orders_Log!$H:$H,Orders_Log!$C:$C,$A286,Orders_Log!$H:$H,"&gt;0"),0))</f>
        <v/>
      </c>
      <c r="H286">
        <f>IF($A286="","",COUNTIFS(Orders_Log!$C:$C,$A286,Orders_Log!$P:$P,"Returned to Picker"))</f>
        <v/>
      </c>
    </row>
    <row r="287">
      <c r="B287">
        <f>IF($A287="","",COUNTIFS(Orders_Log!$C:$C,$A287,Orders_Log!$B:$B,"&lt;&gt;"))</f>
        <v/>
      </c>
      <c r="C287">
        <f>IF($A287="","",COUNTIFS(Orders_Log!$C:$C,$A287,Orders_Log!$M:$M,"Yes"))</f>
        <v/>
      </c>
      <c r="D287" s="5">
        <f>IF(B287=0,0,C287/B287)</f>
        <v/>
      </c>
      <c r="E287">
        <f>IF($A287="","",SUMIFS(Orders_Log!$I:$I,Orders_Log!$C:$C,$A287))</f>
        <v/>
      </c>
      <c r="F287">
        <f>IF(B287=0,0,E287/B287)</f>
        <v/>
      </c>
      <c r="G287">
        <f>IF($A287="","",IFERROR(AVERAGEIFS(Orders_Log!$H:$H,Orders_Log!$C:$C,$A287,Orders_Log!$H:$H,"&gt;0"),0))</f>
        <v/>
      </c>
      <c r="H287">
        <f>IF($A287="","",COUNTIFS(Orders_Log!$C:$C,$A287,Orders_Log!$P:$P,"Returned to Picker"))</f>
        <v/>
      </c>
    </row>
    <row r="288">
      <c r="B288">
        <f>IF($A288="","",COUNTIFS(Orders_Log!$C:$C,$A288,Orders_Log!$B:$B,"&lt;&gt;"))</f>
        <v/>
      </c>
      <c r="C288">
        <f>IF($A288="","",COUNTIFS(Orders_Log!$C:$C,$A288,Orders_Log!$M:$M,"Yes"))</f>
        <v/>
      </c>
      <c r="D288" s="5">
        <f>IF(B288=0,0,C288/B288)</f>
        <v/>
      </c>
      <c r="E288">
        <f>IF($A288="","",SUMIFS(Orders_Log!$I:$I,Orders_Log!$C:$C,$A288))</f>
        <v/>
      </c>
      <c r="F288">
        <f>IF(B288=0,0,E288/B288)</f>
        <v/>
      </c>
      <c r="G288">
        <f>IF($A288="","",IFERROR(AVERAGEIFS(Orders_Log!$H:$H,Orders_Log!$C:$C,$A288,Orders_Log!$H:$H,"&gt;0"),0))</f>
        <v/>
      </c>
      <c r="H288">
        <f>IF($A288="","",COUNTIFS(Orders_Log!$C:$C,$A288,Orders_Log!$P:$P,"Returned to Picker"))</f>
        <v/>
      </c>
    </row>
    <row r="289">
      <c r="B289">
        <f>IF($A289="","",COUNTIFS(Orders_Log!$C:$C,$A289,Orders_Log!$B:$B,"&lt;&gt;"))</f>
        <v/>
      </c>
      <c r="C289">
        <f>IF($A289="","",COUNTIFS(Orders_Log!$C:$C,$A289,Orders_Log!$M:$M,"Yes"))</f>
        <v/>
      </c>
      <c r="D289" s="5">
        <f>IF(B289=0,0,C289/B289)</f>
        <v/>
      </c>
      <c r="E289">
        <f>IF($A289="","",SUMIFS(Orders_Log!$I:$I,Orders_Log!$C:$C,$A289))</f>
        <v/>
      </c>
      <c r="F289">
        <f>IF(B289=0,0,E289/B289)</f>
        <v/>
      </c>
      <c r="G289">
        <f>IF($A289="","",IFERROR(AVERAGEIFS(Orders_Log!$H:$H,Orders_Log!$C:$C,$A289,Orders_Log!$H:$H,"&gt;0"),0))</f>
        <v/>
      </c>
      <c r="H289">
        <f>IF($A289="","",COUNTIFS(Orders_Log!$C:$C,$A289,Orders_Log!$P:$P,"Returned to Picker"))</f>
        <v/>
      </c>
    </row>
    <row r="290">
      <c r="B290">
        <f>IF($A290="","",COUNTIFS(Orders_Log!$C:$C,$A290,Orders_Log!$B:$B,"&lt;&gt;"))</f>
        <v/>
      </c>
      <c r="C290">
        <f>IF($A290="","",COUNTIFS(Orders_Log!$C:$C,$A290,Orders_Log!$M:$M,"Yes"))</f>
        <v/>
      </c>
      <c r="D290" s="5">
        <f>IF(B290=0,0,C290/B290)</f>
        <v/>
      </c>
      <c r="E290">
        <f>IF($A290="","",SUMIFS(Orders_Log!$I:$I,Orders_Log!$C:$C,$A290))</f>
        <v/>
      </c>
      <c r="F290">
        <f>IF(B290=0,0,E290/B290)</f>
        <v/>
      </c>
      <c r="G290">
        <f>IF($A290="","",IFERROR(AVERAGEIFS(Orders_Log!$H:$H,Orders_Log!$C:$C,$A290,Orders_Log!$H:$H,"&gt;0"),0))</f>
        <v/>
      </c>
      <c r="H290">
        <f>IF($A290="","",COUNTIFS(Orders_Log!$C:$C,$A290,Orders_Log!$P:$P,"Returned to Picker"))</f>
        <v/>
      </c>
    </row>
    <row r="291">
      <c r="B291">
        <f>IF($A291="","",COUNTIFS(Orders_Log!$C:$C,$A291,Orders_Log!$B:$B,"&lt;&gt;"))</f>
        <v/>
      </c>
      <c r="C291">
        <f>IF($A291="","",COUNTIFS(Orders_Log!$C:$C,$A291,Orders_Log!$M:$M,"Yes"))</f>
        <v/>
      </c>
      <c r="D291" s="5">
        <f>IF(B291=0,0,C291/B291)</f>
        <v/>
      </c>
      <c r="E291">
        <f>IF($A291="","",SUMIFS(Orders_Log!$I:$I,Orders_Log!$C:$C,$A291))</f>
        <v/>
      </c>
      <c r="F291">
        <f>IF(B291=0,0,E291/B291)</f>
        <v/>
      </c>
      <c r="G291">
        <f>IF($A291="","",IFERROR(AVERAGEIFS(Orders_Log!$H:$H,Orders_Log!$C:$C,$A291,Orders_Log!$H:$H,"&gt;0"),0))</f>
        <v/>
      </c>
      <c r="H291">
        <f>IF($A291="","",COUNTIFS(Orders_Log!$C:$C,$A291,Orders_Log!$P:$P,"Returned to Picker"))</f>
        <v/>
      </c>
    </row>
    <row r="292">
      <c r="B292">
        <f>IF($A292="","",COUNTIFS(Orders_Log!$C:$C,$A292,Orders_Log!$B:$B,"&lt;&gt;"))</f>
        <v/>
      </c>
      <c r="C292">
        <f>IF($A292="","",COUNTIFS(Orders_Log!$C:$C,$A292,Orders_Log!$M:$M,"Yes"))</f>
        <v/>
      </c>
      <c r="D292" s="5">
        <f>IF(B292=0,0,C292/B292)</f>
        <v/>
      </c>
      <c r="E292">
        <f>IF($A292="","",SUMIFS(Orders_Log!$I:$I,Orders_Log!$C:$C,$A292))</f>
        <v/>
      </c>
      <c r="F292">
        <f>IF(B292=0,0,E292/B292)</f>
        <v/>
      </c>
      <c r="G292">
        <f>IF($A292="","",IFERROR(AVERAGEIFS(Orders_Log!$H:$H,Orders_Log!$C:$C,$A292,Orders_Log!$H:$H,"&gt;0"),0))</f>
        <v/>
      </c>
      <c r="H292">
        <f>IF($A292="","",COUNTIFS(Orders_Log!$C:$C,$A292,Orders_Log!$P:$P,"Returned to Picker"))</f>
        <v/>
      </c>
    </row>
    <row r="293">
      <c r="B293">
        <f>IF($A293="","",COUNTIFS(Orders_Log!$C:$C,$A293,Orders_Log!$B:$B,"&lt;&gt;"))</f>
        <v/>
      </c>
      <c r="C293">
        <f>IF($A293="","",COUNTIFS(Orders_Log!$C:$C,$A293,Orders_Log!$M:$M,"Yes"))</f>
        <v/>
      </c>
      <c r="D293" s="5">
        <f>IF(B293=0,0,C293/B293)</f>
        <v/>
      </c>
      <c r="E293">
        <f>IF($A293="","",SUMIFS(Orders_Log!$I:$I,Orders_Log!$C:$C,$A293))</f>
        <v/>
      </c>
      <c r="F293">
        <f>IF(B293=0,0,E293/B293)</f>
        <v/>
      </c>
      <c r="G293">
        <f>IF($A293="","",IFERROR(AVERAGEIFS(Orders_Log!$H:$H,Orders_Log!$C:$C,$A293,Orders_Log!$H:$H,"&gt;0"),0))</f>
        <v/>
      </c>
      <c r="H293">
        <f>IF($A293="","",COUNTIFS(Orders_Log!$C:$C,$A293,Orders_Log!$P:$P,"Returned to Picker"))</f>
        <v/>
      </c>
    </row>
    <row r="294">
      <c r="B294">
        <f>IF($A294="","",COUNTIFS(Orders_Log!$C:$C,$A294,Orders_Log!$B:$B,"&lt;&gt;"))</f>
        <v/>
      </c>
      <c r="C294">
        <f>IF($A294="","",COUNTIFS(Orders_Log!$C:$C,$A294,Orders_Log!$M:$M,"Yes"))</f>
        <v/>
      </c>
      <c r="D294" s="5">
        <f>IF(B294=0,0,C294/B294)</f>
        <v/>
      </c>
      <c r="E294">
        <f>IF($A294="","",SUMIFS(Orders_Log!$I:$I,Orders_Log!$C:$C,$A294))</f>
        <v/>
      </c>
      <c r="F294">
        <f>IF(B294=0,0,E294/B294)</f>
        <v/>
      </c>
      <c r="G294">
        <f>IF($A294="","",IFERROR(AVERAGEIFS(Orders_Log!$H:$H,Orders_Log!$C:$C,$A294,Orders_Log!$H:$H,"&gt;0"),0))</f>
        <v/>
      </c>
      <c r="H294">
        <f>IF($A294="","",COUNTIFS(Orders_Log!$C:$C,$A294,Orders_Log!$P:$P,"Returned to Picker"))</f>
        <v/>
      </c>
    </row>
    <row r="295">
      <c r="B295">
        <f>IF($A295="","",COUNTIFS(Orders_Log!$C:$C,$A295,Orders_Log!$B:$B,"&lt;&gt;"))</f>
        <v/>
      </c>
      <c r="C295">
        <f>IF($A295="","",COUNTIFS(Orders_Log!$C:$C,$A295,Orders_Log!$M:$M,"Yes"))</f>
        <v/>
      </c>
      <c r="D295" s="5">
        <f>IF(B295=0,0,C295/B295)</f>
        <v/>
      </c>
      <c r="E295">
        <f>IF($A295="","",SUMIFS(Orders_Log!$I:$I,Orders_Log!$C:$C,$A295))</f>
        <v/>
      </c>
      <c r="F295">
        <f>IF(B295=0,0,E295/B295)</f>
        <v/>
      </c>
      <c r="G295">
        <f>IF($A295="","",IFERROR(AVERAGEIFS(Orders_Log!$H:$H,Orders_Log!$C:$C,$A295,Orders_Log!$H:$H,"&gt;0"),0))</f>
        <v/>
      </c>
      <c r="H295">
        <f>IF($A295="","",COUNTIFS(Orders_Log!$C:$C,$A295,Orders_Log!$P:$P,"Returned to Picker"))</f>
        <v/>
      </c>
    </row>
    <row r="296">
      <c r="B296">
        <f>IF($A296="","",COUNTIFS(Orders_Log!$C:$C,$A296,Orders_Log!$B:$B,"&lt;&gt;"))</f>
        <v/>
      </c>
      <c r="C296">
        <f>IF($A296="","",COUNTIFS(Orders_Log!$C:$C,$A296,Orders_Log!$M:$M,"Yes"))</f>
        <v/>
      </c>
      <c r="D296" s="5">
        <f>IF(B296=0,0,C296/B296)</f>
        <v/>
      </c>
      <c r="E296">
        <f>IF($A296="","",SUMIFS(Orders_Log!$I:$I,Orders_Log!$C:$C,$A296))</f>
        <v/>
      </c>
      <c r="F296">
        <f>IF(B296=0,0,E296/B296)</f>
        <v/>
      </c>
      <c r="G296">
        <f>IF($A296="","",IFERROR(AVERAGEIFS(Orders_Log!$H:$H,Orders_Log!$C:$C,$A296,Orders_Log!$H:$H,"&gt;0"),0))</f>
        <v/>
      </c>
      <c r="H296">
        <f>IF($A296="","",COUNTIFS(Orders_Log!$C:$C,$A296,Orders_Log!$P:$P,"Returned to Picker"))</f>
        <v/>
      </c>
    </row>
    <row r="297">
      <c r="B297">
        <f>IF($A297="","",COUNTIFS(Orders_Log!$C:$C,$A297,Orders_Log!$B:$B,"&lt;&gt;"))</f>
        <v/>
      </c>
      <c r="C297">
        <f>IF($A297="","",COUNTIFS(Orders_Log!$C:$C,$A297,Orders_Log!$M:$M,"Yes"))</f>
        <v/>
      </c>
      <c r="D297" s="5">
        <f>IF(B297=0,0,C297/B297)</f>
        <v/>
      </c>
      <c r="E297">
        <f>IF($A297="","",SUMIFS(Orders_Log!$I:$I,Orders_Log!$C:$C,$A297))</f>
        <v/>
      </c>
      <c r="F297">
        <f>IF(B297=0,0,E297/B297)</f>
        <v/>
      </c>
      <c r="G297">
        <f>IF($A297="","",IFERROR(AVERAGEIFS(Orders_Log!$H:$H,Orders_Log!$C:$C,$A297,Orders_Log!$H:$H,"&gt;0"),0))</f>
        <v/>
      </c>
      <c r="H297">
        <f>IF($A297="","",COUNTIFS(Orders_Log!$C:$C,$A297,Orders_Log!$P:$P,"Returned to Picker"))</f>
        <v/>
      </c>
    </row>
    <row r="298">
      <c r="B298">
        <f>IF($A298="","",COUNTIFS(Orders_Log!$C:$C,$A298,Orders_Log!$B:$B,"&lt;&gt;"))</f>
        <v/>
      </c>
      <c r="C298">
        <f>IF($A298="","",COUNTIFS(Orders_Log!$C:$C,$A298,Orders_Log!$M:$M,"Yes"))</f>
        <v/>
      </c>
      <c r="D298" s="5">
        <f>IF(B298=0,0,C298/B298)</f>
        <v/>
      </c>
      <c r="E298">
        <f>IF($A298="","",SUMIFS(Orders_Log!$I:$I,Orders_Log!$C:$C,$A298))</f>
        <v/>
      </c>
      <c r="F298">
        <f>IF(B298=0,0,E298/B298)</f>
        <v/>
      </c>
      <c r="G298">
        <f>IF($A298="","",IFERROR(AVERAGEIFS(Orders_Log!$H:$H,Orders_Log!$C:$C,$A298,Orders_Log!$H:$H,"&gt;0"),0))</f>
        <v/>
      </c>
      <c r="H298">
        <f>IF($A298="","",COUNTIFS(Orders_Log!$C:$C,$A298,Orders_Log!$P:$P,"Returned to Picker"))</f>
        <v/>
      </c>
    </row>
    <row r="299">
      <c r="B299">
        <f>IF($A299="","",COUNTIFS(Orders_Log!$C:$C,$A299,Orders_Log!$B:$B,"&lt;&gt;"))</f>
        <v/>
      </c>
      <c r="C299">
        <f>IF($A299="","",COUNTIFS(Orders_Log!$C:$C,$A299,Orders_Log!$M:$M,"Yes"))</f>
        <v/>
      </c>
      <c r="D299" s="5">
        <f>IF(B299=0,0,C299/B299)</f>
        <v/>
      </c>
      <c r="E299">
        <f>IF($A299="","",SUMIFS(Orders_Log!$I:$I,Orders_Log!$C:$C,$A299))</f>
        <v/>
      </c>
      <c r="F299">
        <f>IF(B299=0,0,E299/B299)</f>
        <v/>
      </c>
      <c r="G299">
        <f>IF($A299="","",IFERROR(AVERAGEIFS(Orders_Log!$H:$H,Orders_Log!$C:$C,$A299,Orders_Log!$H:$H,"&gt;0"),0))</f>
        <v/>
      </c>
      <c r="H299">
        <f>IF($A299="","",COUNTIFS(Orders_Log!$C:$C,$A299,Orders_Log!$P:$P,"Returned to Picker"))</f>
        <v/>
      </c>
    </row>
    <row r="300">
      <c r="B300">
        <f>IF($A300="","",COUNTIFS(Orders_Log!$C:$C,$A300,Orders_Log!$B:$B,"&lt;&gt;"))</f>
        <v/>
      </c>
      <c r="C300">
        <f>IF($A300="","",COUNTIFS(Orders_Log!$C:$C,$A300,Orders_Log!$M:$M,"Yes"))</f>
        <v/>
      </c>
      <c r="D300" s="5">
        <f>IF(B300=0,0,C300/B300)</f>
        <v/>
      </c>
      <c r="E300">
        <f>IF($A300="","",SUMIFS(Orders_Log!$I:$I,Orders_Log!$C:$C,$A300))</f>
        <v/>
      </c>
      <c r="F300">
        <f>IF(B300=0,0,E300/B300)</f>
        <v/>
      </c>
      <c r="G300">
        <f>IF($A300="","",IFERROR(AVERAGEIFS(Orders_Log!$H:$H,Orders_Log!$C:$C,$A300,Orders_Log!$H:$H,"&gt;0"),0))</f>
        <v/>
      </c>
      <c r="H300">
        <f>IF($A300="","",COUNTIFS(Orders_Log!$C:$C,$A300,Orders_Log!$P:$P,"Returned to Picker"))</f>
        <v/>
      </c>
    </row>
    <row r="301">
      <c r="B301">
        <f>IF($A301="","",COUNTIFS(Orders_Log!$C:$C,$A301,Orders_Log!$B:$B,"&lt;&gt;"))</f>
        <v/>
      </c>
      <c r="C301">
        <f>IF($A301="","",COUNTIFS(Orders_Log!$C:$C,$A301,Orders_Log!$M:$M,"Yes"))</f>
        <v/>
      </c>
      <c r="D301" s="5">
        <f>IF(B301=0,0,C301/B301)</f>
        <v/>
      </c>
      <c r="E301">
        <f>IF($A301="","",SUMIFS(Orders_Log!$I:$I,Orders_Log!$C:$C,$A301))</f>
        <v/>
      </c>
      <c r="F301">
        <f>IF(B301=0,0,E301/B301)</f>
        <v/>
      </c>
      <c r="G301">
        <f>IF($A301="","",IFERROR(AVERAGEIFS(Orders_Log!$H:$H,Orders_Log!$C:$C,$A301,Orders_Log!$H:$H,"&gt;0"),0))</f>
        <v/>
      </c>
      <c r="H301">
        <f>IF($A301="","",COUNTIFS(Orders_Log!$C:$C,$A301,Orders_Log!$P:$P,"Returned to Picker"))</f>
        <v/>
      </c>
    </row>
    <row r="302">
      <c r="B302">
        <f>IF($A302="","",COUNTIFS(Orders_Log!$C:$C,$A302,Orders_Log!$B:$B,"&lt;&gt;"))</f>
        <v/>
      </c>
      <c r="C302">
        <f>IF($A302="","",COUNTIFS(Orders_Log!$C:$C,$A302,Orders_Log!$M:$M,"Yes"))</f>
        <v/>
      </c>
      <c r="D302" s="5">
        <f>IF(B302=0,0,C302/B302)</f>
        <v/>
      </c>
      <c r="E302">
        <f>IF($A302="","",SUMIFS(Orders_Log!$I:$I,Orders_Log!$C:$C,$A302))</f>
        <v/>
      </c>
      <c r="F302">
        <f>IF(B302=0,0,E302/B302)</f>
        <v/>
      </c>
      <c r="G302">
        <f>IF($A302="","",IFERROR(AVERAGEIFS(Orders_Log!$H:$H,Orders_Log!$C:$C,$A302,Orders_Log!$H:$H,"&gt;0"),0))</f>
        <v/>
      </c>
      <c r="H302">
        <f>IF($A302="","",COUNTIFS(Orders_Log!$C:$C,$A302,Orders_Log!$P:$P,"Returned to Picker"))</f>
        <v/>
      </c>
    </row>
    <row r="303">
      <c r="B303">
        <f>IF($A303="","",COUNTIFS(Orders_Log!$C:$C,$A303,Orders_Log!$B:$B,"&lt;&gt;"))</f>
        <v/>
      </c>
      <c r="C303">
        <f>IF($A303="","",COUNTIFS(Orders_Log!$C:$C,$A303,Orders_Log!$M:$M,"Yes"))</f>
        <v/>
      </c>
      <c r="D303" s="5">
        <f>IF(B303=0,0,C303/B303)</f>
        <v/>
      </c>
      <c r="E303">
        <f>IF($A303="","",SUMIFS(Orders_Log!$I:$I,Orders_Log!$C:$C,$A303))</f>
        <v/>
      </c>
      <c r="F303">
        <f>IF(B303=0,0,E303/B303)</f>
        <v/>
      </c>
      <c r="G303">
        <f>IF($A303="","",IFERROR(AVERAGEIFS(Orders_Log!$H:$H,Orders_Log!$C:$C,$A303,Orders_Log!$H:$H,"&gt;0"),0))</f>
        <v/>
      </c>
      <c r="H303">
        <f>IF($A303="","",COUNTIFS(Orders_Log!$C:$C,$A303,Orders_Log!$P:$P,"Returned to Picker"))</f>
        <v/>
      </c>
    </row>
    <row r="304">
      <c r="B304">
        <f>IF($A304="","",COUNTIFS(Orders_Log!$C:$C,$A304,Orders_Log!$B:$B,"&lt;&gt;"))</f>
        <v/>
      </c>
      <c r="C304">
        <f>IF($A304="","",COUNTIFS(Orders_Log!$C:$C,$A304,Orders_Log!$M:$M,"Yes"))</f>
        <v/>
      </c>
      <c r="D304" s="5">
        <f>IF(B304=0,0,C304/B304)</f>
        <v/>
      </c>
      <c r="E304">
        <f>IF($A304="","",SUMIFS(Orders_Log!$I:$I,Orders_Log!$C:$C,$A304))</f>
        <v/>
      </c>
      <c r="F304">
        <f>IF(B304=0,0,E304/B304)</f>
        <v/>
      </c>
      <c r="G304">
        <f>IF($A304="","",IFERROR(AVERAGEIFS(Orders_Log!$H:$H,Orders_Log!$C:$C,$A304,Orders_Log!$H:$H,"&gt;0"),0))</f>
        <v/>
      </c>
      <c r="H304">
        <f>IF($A304="","",COUNTIFS(Orders_Log!$C:$C,$A304,Orders_Log!$P:$P,"Returned to Picker"))</f>
        <v/>
      </c>
    </row>
    <row r="305">
      <c r="B305">
        <f>IF($A305="","",COUNTIFS(Orders_Log!$C:$C,$A305,Orders_Log!$B:$B,"&lt;&gt;"))</f>
        <v/>
      </c>
      <c r="C305">
        <f>IF($A305="","",COUNTIFS(Orders_Log!$C:$C,$A305,Orders_Log!$M:$M,"Yes"))</f>
        <v/>
      </c>
      <c r="D305" s="5">
        <f>IF(B305=0,0,C305/B305)</f>
        <v/>
      </c>
      <c r="E305">
        <f>IF($A305="","",SUMIFS(Orders_Log!$I:$I,Orders_Log!$C:$C,$A305))</f>
        <v/>
      </c>
      <c r="F305">
        <f>IF(B305=0,0,E305/B305)</f>
        <v/>
      </c>
      <c r="G305">
        <f>IF($A305="","",IFERROR(AVERAGEIFS(Orders_Log!$H:$H,Orders_Log!$C:$C,$A305,Orders_Log!$H:$H,"&gt;0"),0))</f>
        <v/>
      </c>
      <c r="H305">
        <f>IF($A305="","",COUNTIFS(Orders_Log!$C:$C,$A305,Orders_Log!$P:$P,"Returned to Picker"))</f>
        <v/>
      </c>
    </row>
    <row r="306">
      <c r="B306">
        <f>IF($A306="","",COUNTIFS(Orders_Log!$C:$C,$A306,Orders_Log!$B:$B,"&lt;&gt;"))</f>
        <v/>
      </c>
      <c r="C306">
        <f>IF($A306="","",COUNTIFS(Orders_Log!$C:$C,$A306,Orders_Log!$M:$M,"Yes"))</f>
        <v/>
      </c>
      <c r="D306" s="5">
        <f>IF(B306=0,0,C306/B306)</f>
        <v/>
      </c>
      <c r="E306">
        <f>IF($A306="","",SUMIFS(Orders_Log!$I:$I,Orders_Log!$C:$C,$A306))</f>
        <v/>
      </c>
      <c r="F306">
        <f>IF(B306=0,0,E306/B306)</f>
        <v/>
      </c>
      <c r="G306">
        <f>IF($A306="","",IFERROR(AVERAGEIFS(Orders_Log!$H:$H,Orders_Log!$C:$C,$A306,Orders_Log!$H:$H,"&gt;0"),0))</f>
        <v/>
      </c>
      <c r="H306">
        <f>IF($A306="","",COUNTIFS(Orders_Log!$C:$C,$A306,Orders_Log!$P:$P,"Returned to Picker"))</f>
        <v/>
      </c>
    </row>
    <row r="307">
      <c r="B307">
        <f>IF($A307="","",COUNTIFS(Orders_Log!$C:$C,$A307,Orders_Log!$B:$B,"&lt;&gt;"))</f>
        <v/>
      </c>
      <c r="C307">
        <f>IF($A307="","",COUNTIFS(Orders_Log!$C:$C,$A307,Orders_Log!$M:$M,"Yes"))</f>
        <v/>
      </c>
      <c r="D307" s="5">
        <f>IF(B307=0,0,C307/B307)</f>
        <v/>
      </c>
      <c r="E307">
        <f>IF($A307="","",SUMIFS(Orders_Log!$I:$I,Orders_Log!$C:$C,$A307))</f>
        <v/>
      </c>
      <c r="F307">
        <f>IF(B307=0,0,E307/B307)</f>
        <v/>
      </c>
      <c r="G307">
        <f>IF($A307="","",IFERROR(AVERAGEIFS(Orders_Log!$H:$H,Orders_Log!$C:$C,$A307,Orders_Log!$H:$H,"&gt;0"),0))</f>
        <v/>
      </c>
      <c r="H307">
        <f>IF($A307="","",COUNTIFS(Orders_Log!$C:$C,$A307,Orders_Log!$P:$P,"Returned to Picker"))</f>
        <v/>
      </c>
    </row>
    <row r="308">
      <c r="B308">
        <f>IF($A308="","",COUNTIFS(Orders_Log!$C:$C,$A308,Orders_Log!$B:$B,"&lt;&gt;"))</f>
        <v/>
      </c>
      <c r="C308">
        <f>IF($A308="","",COUNTIFS(Orders_Log!$C:$C,$A308,Orders_Log!$M:$M,"Yes"))</f>
        <v/>
      </c>
      <c r="D308" s="5">
        <f>IF(B308=0,0,C308/B308)</f>
        <v/>
      </c>
      <c r="E308">
        <f>IF($A308="","",SUMIFS(Orders_Log!$I:$I,Orders_Log!$C:$C,$A308))</f>
        <v/>
      </c>
      <c r="F308">
        <f>IF(B308=0,0,E308/B308)</f>
        <v/>
      </c>
      <c r="G308">
        <f>IF($A308="","",IFERROR(AVERAGEIFS(Orders_Log!$H:$H,Orders_Log!$C:$C,$A308,Orders_Log!$H:$H,"&gt;0"),0))</f>
        <v/>
      </c>
      <c r="H308">
        <f>IF($A308="","",COUNTIFS(Orders_Log!$C:$C,$A308,Orders_Log!$P:$P,"Returned to Picker"))</f>
        <v/>
      </c>
    </row>
    <row r="309">
      <c r="B309">
        <f>IF($A309="","",COUNTIFS(Orders_Log!$C:$C,$A309,Orders_Log!$B:$B,"&lt;&gt;"))</f>
        <v/>
      </c>
      <c r="C309">
        <f>IF($A309="","",COUNTIFS(Orders_Log!$C:$C,$A309,Orders_Log!$M:$M,"Yes"))</f>
        <v/>
      </c>
      <c r="D309" s="5">
        <f>IF(B309=0,0,C309/B309)</f>
        <v/>
      </c>
      <c r="E309">
        <f>IF($A309="","",SUMIFS(Orders_Log!$I:$I,Orders_Log!$C:$C,$A309))</f>
        <v/>
      </c>
      <c r="F309">
        <f>IF(B309=0,0,E309/B309)</f>
        <v/>
      </c>
      <c r="G309">
        <f>IF($A309="","",IFERROR(AVERAGEIFS(Orders_Log!$H:$H,Orders_Log!$C:$C,$A309,Orders_Log!$H:$H,"&gt;0"),0))</f>
        <v/>
      </c>
      <c r="H309">
        <f>IF($A309="","",COUNTIFS(Orders_Log!$C:$C,$A309,Orders_Log!$P:$P,"Returned to Picker"))</f>
        <v/>
      </c>
    </row>
    <row r="310">
      <c r="B310">
        <f>IF($A310="","",COUNTIFS(Orders_Log!$C:$C,$A310,Orders_Log!$B:$B,"&lt;&gt;"))</f>
        <v/>
      </c>
      <c r="C310">
        <f>IF($A310="","",COUNTIFS(Orders_Log!$C:$C,$A310,Orders_Log!$M:$M,"Yes"))</f>
        <v/>
      </c>
      <c r="D310" s="5">
        <f>IF(B310=0,0,C310/B310)</f>
        <v/>
      </c>
      <c r="E310">
        <f>IF($A310="","",SUMIFS(Orders_Log!$I:$I,Orders_Log!$C:$C,$A310))</f>
        <v/>
      </c>
      <c r="F310">
        <f>IF(B310=0,0,E310/B310)</f>
        <v/>
      </c>
      <c r="G310">
        <f>IF($A310="","",IFERROR(AVERAGEIFS(Orders_Log!$H:$H,Orders_Log!$C:$C,$A310,Orders_Log!$H:$H,"&gt;0"),0))</f>
        <v/>
      </c>
      <c r="H310">
        <f>IF($A310="","",COUNTIFS(Orders_Log!$C:$C,$A310,Orders_Log!$P:$P,"Returned to Picker"))</f>
        <v/>
      </c>
    </row>
    <row r="311">
      <c r="B311">
        <f>IF($A311="","",COUNTIFS(Orders_Log!$C:$C,$A311,Orders_Log!$B:$B,"&lt;&gt;"))</f>
        <v/>
      </c>
      <c r="C311">
        <f>IF($A311="","",COUNTIFS(Orders_Log!$C:$C,$A311,Orders_Log!$M:$M,"Yes"))</f>
        <v/>
      </c>
      <c r="D311" s="5">
        <f>IF(B311=0,0,C311/B311)</f>
        <v/>
      </c>
      <c r="E311">
        <f>IF($A311="","",SUMIFS(Orders_Log!$I:$I,Orders_Log!$C:$C,$A311))</f>
        <v/>
      </c>
      <c r="F311">
        <f>IF(B311=0,0,E311/B311)</f>
        <v/>
      </c>
      <c r="G311">
        <f>IF($A311="","",IFERROR(AVERAGEIFS(Orders_Log!$H:$H,Orders_Log!$C:$C,$A311,Orders_Log!$H:$H,"&gt;0"),0))</f>
        <v/>
      </c>
      <c r="H311">
        <f>IF($A311="","",COUNTIFS(Orders_Log!$C:$C,$A311,Orders_Log!$P:$P,"Returned to Picker"))</f>
        <v/>
      </c>
    </row>
    <row r="312">
      <c r="B312">
        <f>IF($A312="","",COUNTIFS(Orders_Log!$C:$C,$A312,Orders_Log!$B:$B,"&lt;&gt;"))</f>
        <v/>
      </c>
      <c r="C312">
        <f>IF($A312="","",COUNTIFS(Orders_Log!$C:$C,$A312,Orders_Log!$M:$M,"Yes"))</f>
        <v/>
      </c>
      <c r="D312" s="5">
        <f>IF(B312=0,0,C312/B312)</f>
        <v/>
      </c>
      <c r="E312">
        <f>IF($A312="","",SUMIFS(Orders_Log!$I:$I,Orders_Log!$C:$C,$A312))</f>
        <v/>
      </c>
      <c r="F312">
        <f>IF(B312=0,0,E312/B312)</f>
        <v/>
      </c>
      <c r="G312">
        <f>IF($A312="","",IFERROR(AVERAGEIFS(Orders_Log!$H:$H,Orders_Log!$C:$C,$A312,Orders_Log!$H:$H,"&gt;0"),0))</f>
        <v/>
      </c>
      <c r="H312">
        <f>IF($A312="","",COUNTIFS(Orders_Log!$C:$C,$A312,Orders_Log!$P:$P,"Returned to Picker"))</f>
        <v/>
      </c>
    </row>
    <row r="313">
      <c r="B313">
        <f>IF($A313="","",COUNTIFS(Orders_Log!$C:$C,$A313,Orders_Log!$B:$B,"&lt;&gt;"))</f>
        <v/>
      </c>
      <c r="C313">
        <f>IF($A313="","",COUNTIFS(Orders_Log!$C:$C,$A313,Orders_Log!$M:$M,"Yes"))</f>
        <v/>
      </c>
      <c r="D313" s="5">
        <f>IF(B313=0,0,C313/B313)</f>
        <v/>
      </c>
      <c r="E313">
        <f>IF($A313="","",SUMIFS(Orders_Log!$I:$I,Orders_Log!$C:$C,$A313))</f>
        <v/>
      </c>
      <c r="F313">
        <f>IF(B313=0,0,E313/B313)</f>
        <v/>
      </c>
      <c r="G313">
        <f>IF($A313="","",IFERROR(AVERAGEIFS(Orders_Log!$H:$H,Orders_Log!$C:$C,$A313,Orders_Log!$H:$H,"&gt;0"),0))</f>
        <v/>
      </c>
      <c r="H313">
        <f>IF($A313="","",COUNTIFS(Orders_Log!$C:$C,$A313,Orders_Log!$P:$P,"Returned to Picker"))</f>
        <v/>
      </c>
    </row>
    <row r="314">
      <c r="B314">
        <f>IF($A314="","",COUNTIFS(Orders_Log!$C:$C,$A314,Orders_Log!$B:$B,"&lt;&gt;"))</f>
        <v/>
      </c>
      <c r="C314">
        <f>IF($A314="","",COUNTIFS(Orders_Log!$C:$C,$A314,Orders_Log!$M:$M,"Yes"))</f>
        <v/>
      </c>
      <c r="D314" s="5">
        <f>IF(B314=0,0,C314/B314)</f>
        <v/>
      </c>
      <c r="E314">
        <f>IF($A314="","",SUMIFS(Orders_Log!$I:$I,Orders_Log!$C:$C,$A314))</f>
        <v/>
      </c>
      <c r="F314">
        <f>IF(B314=0,0,E314/B314)</f>
        <v/>
      </c>
      <c r="G314">
        <f>IF($A314="","",IFERROR(AVERAGEIFS(Orders_Log!$H:$H,Orders_Log!$C:$C,$A314,Orders_Log!$H:$H,"&gt;0"),0))</f>
        <v/>
      </c>
      <c r="H314">
        <f>IF($A314="","",COUNTIFS(Orders_Log!$C:$C,$A314,Orders_Log!$P:$P,"Returned to Picker"))</f>
        <v/>
      </c>
    </row>
    <row r="315">
      <c r="B315">
        <f>IF($A315="","",COUNTIFS(Orders_Log!$C:$C,$A315,Orders_Log!$B:$B,"&lt;&gt;"))</f>
        <v/>
      </c>
      <c r="C315">
        <f>IF($A315="","",COUNTIFS(Orders_Log!$C:$C,$A315,Orders_Log!$M:$M,"Yes"))</f>
        <v/>
      </c>
      <c r="D315" s="5">
        <f>IF(B315=0,0,C315/B315)</f>
        <v/>
      </c>
      <c r="E315">
        <f>IF($A315="","",SUMIFS(Orders_Log!$I:$I,Orders_Log!$C:$C,$A315))</f>
        <v/>
      </c>
      <c r="F315">
        <f>IF(B315=0,0,E315/B315)</f>
        <v/>
      </c>
      <c r="G315">
        <f>IF($A315="","",IFERROR(AVERAGEIFS(Orders_Log!$H:$H,Orders_Log!$C:$C,$A315,Orders_Log!$H:$H,"&gt;0"),0))</f>
        <v/>
      </c>
      <c r="H315">
        <f>IF($A315="","",COUNTIFS(Orders_Log!$C:$C,$A315,Orders_Log!$P:$P,"Returned to Picker"))</f>
        <v/>
      </c>
    </row>
    <row r="316">
      <c r="B316">
        <f>IF($A316="","",COUNTIFS(Orders_Log!$C:$C,$A316,Orders_Log!$B:$B,"&lt;&gt;"))</f>
        <v/>
      </c>
      <c r="C316">
        <f>IF($A316="","",COUNTIFS(Orders_Log!$C:$C,$A316,Orders_Log!$M:$M,"Yes"))</f>
        <v/>
      </c>
      <c r="D316" s="5">
        <f>IF(B316=0,0,C316/B316)</f>
        <v/>
      </c>
      <c r="E316">
        <f>IF($A316="","",SUMIFS(Orders_Log!$I:$I,Orders_Log!$C:$C,$A316))</f>
        <v/>
      </c>
      <c r="F316">
        <f>IF(B316=0,0,E316/B316)</f>
        <v/>
      </c>
      <c r="G316">
        <f>IF($A316="","",IFERROR(AVERAGEIFS(Orders_Log!$H:$H,Orders_Log!$C:$C,$A316,Orders_Log!$H:$H,"&gt;0"),0))</f>
        <v/>
      </c>
      <c r="H316">
        <f>IF($A316="","",COUNTIFS(Orders_Log!$C:$C,$A316,Orders_Log!$P:$P,"Returned to Picker"))</f>
        <v/>
      </c>
    </row>
    <row r="317">
      <c r="B317">
        <f>IF($A317="","",COUNTIFS(Orders_Log!$C:$C,$A317,Orders_Log!$B:$B,"&lt;&gt;"))</f>
        <v/>
      </c>
      <c r="C317">
        <f>IF($A317="","",COUNTIFS(Orders_Log!$C:$C,$A317,Orders_Log!$M:$M,"Yes"))</f>
        <v/>
      </c>
      <c r="D317" s="5">
        <f>IF(B317=0,0,C317/B317)</f>
        <v/>
      </c>
      <c r="E317">
        <f>IF($A317="","",SUMIFS(Orders_Log!$I:$I,Orders_Log!$C:$C,$A317))</f>
        <v/>
      </c>
      <c r="F317">
        <f>IF(B317=0,0,E317/B317)</f>
        <v/>
      </c>
      <c r="G317">
        <f>IF($A317="","",IFERROR(AVERAGEIFS(Orders_Log!$H:$H,Orders_Log!$C:$C,$A317,Orders_Log!$H:$H,"&gt;0"),0))</f>
        <v/>
      </c>
      <c r="H317">
        <f>IF($A317="","",COUNTIFS(Orders_Log!$C:$C,$A317,Orders_Log!$P:$P,"Returned to Picker"))</f>
        <v/>
      </c>
    </row>
    <row r="318">
      <c r="B318">
        <f>IF($A318="","",COUNTIFS(Orders_Log!$C:$C,$A318,Orders_Log!$B:$B,"&lt;&gt;"))</f>
        <v/>
      </c>
      <c r="C318">
        <f>IF($A318="","",COUNTIFS(Orders_Log!$C:$C,$A318,Orders_Log!$M:$M,"Yes"))</f>
        <v/>
      </c>
      <c r="D318" s="5">
        <f>IF(B318=0,0,C318/B318)</f>
        <v/>
      </c>
      <c r="E318">
        <f>IF($A318="","",SUMIFS(Orders_Log!$I:$I,Orders_Log!$C:$C,$A318))</f>
        <v/>
      </c>
      <c r="F318">
        <f>IF(B318=0,0,E318/B318)</f>
        <v/>
      </c>
      <c r="G318">
        <f>IF($A318="","",IFERROR(AVERAGEIFS(Orders_Log!$H:$H,Orders_Log!$C:$C,$A318,Orders_Log!$H:$H,"&gt;0"),0))</f>
        <v/>
      </c>
      <c r="H318">
        <f>IF($A318="","",COUNTIFS(Orders_Log!$C:$C,$A318,Orders_Log!$P:$P,"Returned to Picker"))</f>
        <v/>
      </c>
    </row>
    <row r="319">
      <c r="B319">
        <f>IF($A319="","",COUNTIFS(Orders_Log!$C:$C,$A319,Orders_Log!$B:$B,"&lt;&gt;"))</f>
        <v/>
      </c>
      <c r="C319">
        <f>IF($A319="","",COUNTIFS(Orders_Log!$C:$C,$A319,Orders_Log!$M:$M,"Yes"))</f>
        <v/>
      </c>
      <c r="D319" s="5">
        <f>IF(B319=0,0,C319/B319)</f>
        <v/>
      </c>
      <c r="E319">
        <f>IF($A319="","",SUMIFS(Orders_Log!$I:$I,Orders_Log!$C:$C,$A319))</f>
        <v/>
      </c>
      <c r="F319">
        <f>IF(B319=0,0,E319/B319)</f>
        <v/>
      </c>
      <c r="G319">
        <f>IF($A319="","",IFERROR(AVERAGEIFS(Orders_Log!$H:$H,Orders_Log!$C:$C,$A319,Orders_Log!$H:$H,"&gt;0"),0))</f>
        <v/>
      </c>
      <c r="H319">
        <f>IF($A319="","",COUNTIFS(Orders_Log!$C:$C,$A319,Orders_Log!$P:$P,"Returned to Picker"))</f>
        <v/>
      </c>
    </row>
    <row r="320">
      <c r="B320">
        <f>IF($A320="","",COUNTIFS(Orders_Log!$C:$C,$A320,Orders_Log!$B:$B,"&lt;&gt;"))</f>
        <v/>
      </c>
      <c r="C320">
        <f>IF($A320="","",COUNTIFS(Orders_Log!$C:$C,$A320,Orders_Log!$M:$M,"Yes"))</f>
        <v/>
      </c>
      <c r="D320" s="5">
        <f>IF(B320=0,0,C320/B320)</f>
        <v/>
      </c>
      <c r="E320">
        <f>IF($A320="","",SUMIFS(Orders_Log!$I:$I,Orders_Log!$C:$C,$A320))</f>
        <v/>
      </c>
      <c r="F320">
        <f>IF(B320=0,0,E320/B320)</f>
        <v/>
      </c>
      <c r="G320">
        <f>IF($A320="","",IFERROR(AVERAGEIFS(Orders_Log!$H:$H,Orders_Log!$C:$C,$A320,Orders_Log!$H:$H,"&gt;0"),0))</f>
        <v/>
      </c>
      <c r="H320">
        <f>IF($A320="","",COUNTIFS(Orders_Log!$C:$C,$A320,Orders_Log!$P:$P,"Returned to Picker"))</f>
        <v/>
      </c>
    </row>
    <row r="321">
      <c r="B321">
        <f>IF($A321="","",COUNTIFS(Orders_Log!$C:$C,$A321,Orders_Log!$B:$B,"&lt;&gt;"))</f>
        <v/>
      </c>
      <c r="C321">
        <f>IF($A321="","",COUNTIFS(Orders_Log!$C:$C,$A321,Orders_Log!$M:$M,"Yes"))</f>
        <v/>
      </c>
      <c r="D321" s="5">
        <f>IF(B321=0,0,C321/B321)</f>
        <v/>
      </c>
      <c r="E321">
        <f>IF($A321="","",SUMIFS(Orders_Log!$I:$I,Orders_Log!$C:$C,$A321))</f>
        <v/>
      </c>
      <c r="F321">
        <f>IF(B321=0,0,E321/B321)</f>
        <v/>
      </c>
      <c r="G321">
        <f>IF($A321="","",IFERROR(AVERAGEIFS(Orders_Log!$H:$H,Orders_Log!$C:$C,$A321,Orders_Log!$H:$H,"&gt;0"),0))</f>
        <v/>
      </c>
      <c r="H321">
        <f>IF($A321="","",COUNTIFS(Orders_Log!$C:$C,$A321,Orders_Log!$P:$P,"Returned to Picker"))</f>
        <v/>
      </c>
    </row>
    <row r="322">
      <c r="B322">
        <f>IF($A322="","",COUNTIFS(Orders_Log!$C:$C,$A322,Orders_Log!$B:$B,"&lt;&gt;"))</f>
        <v/>
      </c>
      <c r="C322">
        <f>IF($A322="","",COUNTIFS(Orders_Log!$C:$C,$A322,Orders_Log!$M:$M,"Yes"))</f>
        <v/>
      </c>
      <c r="D322" s="5">
        <f>IF(B322=0,0,C322/B322)</f>
        <v/>
      </c>
      <c r="E322">
        <f>IF($A322="","",SUMIFS(Orders_Log!$I:$I,Orders_Log!$C:$C,$A322))</f>
        <v/>
      </c>
      <c r="F322">
        <f>IF(B322=0,0,E322/B322)</f>
        <v/>
      </c>
      <c r="G322">
        <f>IF($A322="","",IFERROR(AVERAGEIFS(Orders_Log!$H:$H,Orders_Log!$C:$C,$A322,Orders_Log!$H:$H,"&gt;0"),0))</f>
        <v/>
      </c>
      <c r="H322">
        <f>IF($A322="","",COUNTIFS(Orders_Log!$C:$C,$A322,Orders_Log!$P:$P,"Returned to Picker"))</f>
        <v/>
      </c>
    </row>
    <row r="323">
      <c r="B323">
        <f>IF($A323="","",COUNTIFS(Orders_Log!$C:$C,$A323,Orders_Log!$B:$B,"&lt;&gt;"))</f>
        <v/>
      </c>
      <c r="C323">
        <f>IF($A323="","",COUNTIFS(Orders_Log!$C:$C,$A323,Orders_Log!$M:$M,"Yes"))</f>
        <v/>
      </c>
      <c r="D323" s="5">
        <f>IF(B323=0,0,C323/B323)</f>
        <v/>
      </c>
      <c r="E323">
        <f>IF($A323="","",SUMIFS(Orders_Log!$I:$I,Orders_Log!$C:$C,$A323))</f>
        <v/>
      </c>
      <c r="F323">
        <f>IF(B323=0,0,E323/B323)</f>
        <v/>
      </c>
      <c r="G323">
        <f>IF($A323="","",IFERROR(AVERAGEIFS(Orders_Log!$H:$H,Orders_Log!$C:$C,$A323,Orders_Log!$H:$H,"&gt;0"),0))</f>
        <v/>
      </c>
      <c r="H323">
        <f>IF($A323="","",COUNTIFS(Orders_Log!$C:$C,$A323,Orders_Log!$P:$P,"Returned to Picker"))</f>
        <v/>
      </c>
    </row>
    <row r="324">
      <c r="B324">
        <f>IF($A324="","",COUNTIFS(Orders_Log!$C:$C,$A324,Orders_Log!$B:$B,"&lt;&gt;"))</f>
        <v/>
      </c>
      <c r="C324">
        <f>IF($A324="","",COUNTIFS(Orders_Log!$C:$C,$A324,Orders_Log!$M:$M,"Yes"))</f>
        <v/>
      </c>
      <c r="D324" s="5">
        <f>IF(B324=0,0,C324/B324)</f>
        <v/>
      </c>
      <c r="E324">
        <f>IF($A324="","",SUMIFS(Orders_Log!$I:$I,Orders_Log!$C:$C,$A324))</f>
        <v/>
      </c>
      <c r="F324">
        <f>IF(B324=0,0,E324/B324)</f>
        <v/>
      </c>
      <c r="G324">
        <f>IF($A324="","",IFERROR(AVERAGEIFS(Orders_Log!$H:$H,Orders_Log!$C:$C,$A324,Orders_Log!$H:$H,"&gt;0"),0))</f>
        <v/>
      </c>
      <c r="H324">
        <f>IF($A324="","",COUNTIFS(Orders_Log!$C:$C,$A324,Orders_Log!$P:$P,"Returned to Picker"))</f>
        <v/>
      </c>
    </row>
    <row r="325">
      <c r="B325">
        <f>IF($A325="","",COUNTIFS(Orders_Log!$C:$C,$A325,Orders_Log!$B:$B,"&lt;&gt;"))</f>
        <v/>
      </c>
      <c r="C325">
        <f>IF($A325="","",COUNTIFS(Orders_Log!$C:$C,$A325,Orders_Log!$M:$M,"Yes"))</f>
        <v/>
      </c>
      <c r="D325" s="5">
        <f>IF(B325=0,0,C325/B325)</f>
        <v/>
      </c>
      <c r="E325">
        <f>IF($A325="","",SUMIFS(Orders_Log!$I:$I,Orders_Log!$C:$C,$A325))</f>
        <v/>
      </c>
      <c r="F325">
        <f>IF(B325=0,0,E325/B325)</f>
        <v/>
      </c>
      <c r="G325">
        <f>IF($A325="","",IFERROR(AVERAGEIFS(Orders_Log!$H:$H,Orders_Log!$C:$C,$A325,Orders_Log!$H:$H,"&gt;0"),0))</f>
        <v/>
      </c>
      <c r="H325">
        <f>IF($A325="","",COUNTIFS(Orders_Log!$C:$C,$A325,Orders_Log!$P:$P,"Returned to Picker"))</f>
        <v/>
      </c>
    </row>
    <row r="326">
      <c r="B326">
        <f>IF($A326="","",COUNTIFS(Orders_Log!$C:$C,$A326,Orders_Log!$B:$B,"&lt;&gt;"))</f>
        <v/>
      </c>
      <c r="C326">
        <f>IF($A326="","",COUNTIFS(Orders_Log!$C:$C,$A326,Orders_Log!$M:$M,"Yes"))</f>
        <v/>
      </c>
      <c r="D326" s="5">
        <f>IF(B326=0,0,C326/B326)</f>
        <v/>
      </c>
      <c r="E326">
        <f>IF($A326="","",SUMIFS(Orders_Log!$I:$I,Orders_Log!$C:$C,$A326))</f>
        <v/>
      </c>
      <c r="F326">
        <f>IF(B326=0,0,E326/B326)</f>
        <v/>
      </c>
      <c r="G326">
        <f>IF($A326="","",IFERROR(AVERAGEIFS(Orders_Log!$H:$H,Orders_Log!$C:$C,$A326,Orders_Log!$H:$H,"&gt;0"),0))</f>
        <v/>
      </c>
      <c r="H326">
        <f>IF($A326="","",COUNTIFS(Orders_Log!$C:$C,$A326,Orders_Log!$P:$P,"Returned to Picker"))</f>
        <v/>
      </c>
    </row>
    <row r="327">
      <c r="B327">
        <f>IF($A327="","",COUNTIFS(Orders_Log!$C:$C,$A327,Orders_Log!$B:$B,"&lt;&gt;"))</f>
        <v/>
      </c>
      <c r="C327">
        <f>IF($A327="","",COUNTIFS(Orders_Log!$C:$C,$A327,Orders_Log!$M:$M,"Yes"))</f>
        <v/>
      </c>
      <c r="D327" s="5">
        <f>IF(B327=0,0,C327/B327)</f>
        <v/>
      </c>
      <c r="E327">
        <f>IF($A327="","",SUMIFS(Orders_Log!$I:$I,Orders_Log!$C:$C,$A327))</f>
        <v/>
      </c>
      <c r="F327">
        <f>IF(B327=0,0,E327/B327)</f>
        <v/>
      </c>
      <c r="G327">
        <f>IF($A327="","",IFERROR(AVERAGEIFS(Orders_Log!$H:$H,Orders_Log!$C:$C,$A327,Orders_Log!$H:$H,"&gt;0"),0))</f>
        <v/>
      </c>
      <c r="H327">
        <f>IF($A327="","",COUNTIFS(Orders_Log!$C:$C,$A327,Orders_Log!$P:$P,"Returned to Picker"))</f>
        <v/>
      </c>
    </row>
    <row r="328">
      <c r="B328">
        <f>IF($A328="","",COUNTIFS(Orders_Log!$C:$C,$A328,Orders_Log!$B:$B,"&lt;&gt;"))</f>
        <v/>
      </c>
      <c r="C328">
        <f>IF($A328="","",COUNTIFS(Orders_Log!$C:$C,$A328,Orders_Log!$M:$M,"Yes"))</f>
        <v/>
      </c>
      <c r="D328" s="5">
        <f>IF(B328=0,0,C328/B328)</f>
        <v/>
      </c>
      <c r="E328">
        <f>IF($A328="","",SUMIFS(Orders_Log!$I:$I,Orders_Log!$C:$C,$A328))</f>
        <v/>
      </c>
      <c r="F328">
        <f>IF(B328=0,0,E328/B328)</f>
        <v/>
      </c>
      <c r="G328">
        <f>IF($A328="","",IFERROR(AVERAGEIFS(Orders_Log!$H:$H,Orders_Log!$C:$C,$A328,Orders_Log!$H:$H,"&gt;0"),0))</f>
        <v/>
      </c>
      <c r="H328">
        <f>IF($A328="","",COUNTIFS(Orders_Log!$C:$C,$A328,Orders_Log!$P:$P,"Returned to Picker"))</f>
        <v/>
      </c>
    </row>
    <row r="329">
      <c r="B329">
        <f>IF($A329="","",COUNTIFS(Orders_Log!$C:$C,$A329,Orders_Log!$B:$B,"&lt;&gt;"))</f>
        <v/>
      </c>
      <c r="C329">
        <f>IF($A329="","",COUNTIFS(Orders_Log!$C:$C,$A329,Orders_Log!$M:$M,"Yes"))</f>
        <v/>
      </c>
      <c r="D329" s="5">
        <f>IF(B329=0,0,C329/B329)</f>
        <v/>
      </c>
      <c r="E329">
        <f>IF($A329="","",SUMIFS(Orders_Log!$I:$I,Orders_Log!$C:$C,$A329))</f>
        <v/>
      </c>
      <c r="F329">
        <f>IF(B329=0,0,E329/B329)</f>
        <v/>
      </c>
      <c r="G329">
        <f>IF($A329="","",IFERROR(AVERAGEIFS(Orders_Log!$H:$H,Orders_Log!$C:$C,$A329,Orders_Log!$H:$H,"&gt;0"),0))</f>
        <v/>
      </c>
      <c r="H329">
        <f>IF($A329="","",COUNTIFS(Orders_Log!$C:$C,$A329,Orders_Log!$P:$P,"Returned to Picker"))</f>
        <v/>
      </c>
    </row>
    <row r="330">
      <c r="B330">
        <f>IF($A330="","",COUNTIFS(Orders_Log!$C:$C,$A330,Orders_Log!$B:$B,"&lt;&gt;"))</f>
        <v/>
      </c>
      <c r="C330">
        <f>IF($A330="","",COUNTIFS(Orders_Log!$C:$C,$A330,Orders_Log!$M:$M,"Yes"))</f>
        <v/>
      </c>
      <c r="D330" s="5">
        <f>IF(B330=0,0,C330/B330)</f>
        <v/>
      </c>
      <c r="E330">
        <f>IF($A330="","",SUMIFS(Orders_Log!$I:$I,Orders_Log!$C:$C,$A330))</f>
        <v/>
      </c>
      <c r="F330">
        <f>IF(B330=0,0,E330/B330)</f>
        <v/>
      </c>
      <c r="G330">
        <f>IF($A330="","",IFERROR(AVERAGEIFS(Orders_Log!$H:$H,Orders_Log!$C:$C,$A330,Orders_Log!$H:$H,"&gt;0"),0))</f>
        <v/>
      </c>
      <c r="H330">
        <f>IF($A330="","",COUNTIFS(Orders_Log!$C:$C,$A330,Orders_Log!$P:$P,"Returned to Picker"))</f>
        <v/>
      </c>
    </row>
    <row r="331">
      <c r="B331">
        <f>IF($A331="","",COUNTIFS(Orders_Log!$C:$C,$A331,Orders_Log!$B:$B,"&lt;&gt;"))</f>
        <v/>
      </c>
      <c r="C331">
        <f>IF($A331="","",COUNTIFS(Orders_Log!$C:$C,$A331,Orders_Log!$M:$M,"Yes"))</f>
        <v/>
      </c>
      <c r="D331" s="5">
        <f>IF(B331=0,0,C331/B331)</f>
        <v/>
      </c>
      <c r="E331">
        <f>IF($A331="","",SUMIFS(Orders_Log!$I:$I,Orders_Log!$C:$C,$A331))</f>
        <v/>
      </c>
      <c r="F331">
        <f>IF(B331=0,0,E331/B331)</f>
        <v/>
      </c>
      <c r="G331">
        <f>IF($A331="","",IFERROR(AVERAGEIFS(Orders_Log!$H:$H,Orders_Log!$C:$C,$A331,Orders_Log!$H:$H,"&gt;0"),0))</f>
        <v/>
      </c>
      <c r="H331">
        <f>IF($A331="","",COUNTIFS(Orders_Log!$C:$C,$A331,Orders_Log!$P:$P,"Returned to Picker"))</f>
        <v/>
      </c>
    </row>
    <row r="332">
      <c r="B332">
        <f>IF($A332="","",COUNTIFS(Orders_Log!$C:$C,$A332,Orders_Log!$B:$B,"&lt;&gt;"))</f>
        <v/>
      </c>
      <c r="C332">
        <f>IF($A332="","",COUNTIFS(Orders_Log!$C:$C,$A332,Orders_Log!$M:$M,"Yes"))</f>
        <v/>
      </c>
      <c r="D332" s="5">
        <f>IF(B332=0,0,C332/B332)</f>
        <v/>
      </c>
      <c r="E332">
        <f>IF($A332="","",SUMIFS(Orders_Log!$I:$I,Orders_Log!$C:$C,$A332))</f>
        <v/>
      </c>
      <c r="F332">
        <f>IF(B332=0,0,E332/B332)</f>
        <v/>
      </c>
      <c r="G332">
        <f>IF($A332="","",IFERROR(AVERAGEIFS(Orders_Log!$H:$H,Orders_Log!$C:$C,$A332,Orders_Log!$H:$H,"&gt;0"),0))</f>
        <v/>
      </c>
      <c r="H332">
        <f>IF($A332="","",COUNTIFS(Orders_Log!$C:$C,$A332,Orders_Log!$P:$P,"Returned to Picker"))</f>
        <v/>
      </c>
    </row>
    <row r="333">
      <c r="B333">
        <f>IF($A333="","",COUNTIFS(Orders_Log!$C:$C,$A333,Orders_Log!$B:$B,"&lt;&gt;"))</f>
        <v/>
      </c>
      <c r="C333">
        <f>IF($A333="","",COUNTIFS(Orders_Log!$C:$C,$A333,Orders_Log!$M:$M,"Yes"))</f>
        <v/>
      </c>
      <c r="D333" s="5">
        <f>IF(B333=0,0,C333/B333)</f>
        <v/>
      </c>
      <c r="E333">
        <f>IF($A333="","",SUMIFS(Orders_Log!$I:$I,Orders_Log!$C:$C,$A333))</f>
        <v/>
      </c>
      <c r="F333">
        <f>IF(B333=0,0,E333/B333)</f>
        <v/>
      </c>
      <c r="G333">
        <f>IF($A333="","",IFERROR(AVERAGEIFS(Orders_Log!$H:$H,Orders_Log!$C:$C,$A333,Orders_Log!$H:$H,"&gt;0"),0))</f>
        <v/>
      </c>
      <c r="H333">
        <f>IF($A333="","",COUNTIFS(Orders_Log!$C:$C,$A333,Orders_Log!$P:$P,"Returned to Picker"))</f>
        <v/>
      </c>
    </row>
    <row r="334">
      <c r="B334">
        <f>IF($A334="","",COUNTIFS(Orders_Log!$C:$C,$A334,Orders_Log!$B:$B,"&lt;&gt;"))</f>
        <v/>
      </c>
      <c r="C334">
        <f>IF($A334="","",COUNTIFS(Orders_Log!$C:$C,$A334,Orders_Log!$M:$M,"Yes"))</f>
        <v/>
      </c>
      <c r="D334" s="5">
        <f>IF(B334=0,0,C334/B334)</f>
        <v/>
      </c>
      <c r="E334">
        <f>IF($A334="","",SUMIFS(Orders_Log!$I:$I,Orders_Log!$C:$C,$A334))</f>
        <v/>
      </c>
      <c r="F334">
        <f>IF(B334=0,0,E334/B334)</f>
        <v/>
      </c>
      <c r="G334">
        <f>IF($A334="","",IFERROR(AVERAGEIFS(Orders_Log!$H:$H,Orders_Log!$C:$C,$A334,Orders_Log!$H:$H,"&gt;0"),0))</f>
        <v/>
      </c>
      <c r="H334">
        <f>IF($A334="","",COUNTIFS(Orders_Log!$C:$C,$A334,Orders_Log!$P:$P,"Returned to Picker"))</f>
        <v/>
      </c>
    </row>
    <row r="335">
      <c r="B335">
        <f>IF($A335="","",COUNTIFS(Orders_Log!$C:$C,$A335,Orders_Log!$B:$B,"&lt;&gt;"))</f>
        <v/>
      </c>
      <c r="C335">
        <f>IF($A335="","",COUNTIFS(Orders_Log!$C:$C,$A335,Orders_Log!$M:$M,"Yes"))</f>
        <v/>
      </c>
      <c r="D335" s="5">
        <f>IF(B335=0,0,C335/B335)</f>
        <v/>
      </c>
      <c r="E335">
        <f>IF($A335="","",SUMIFS(Orders_Log!$I:$I,Orders_Log!$C:$C,$A335))</f>
        <v/>
      </c>
      <c r="F335">
        <f>IF(B335=0,0,E335/B335)</f>
        <v/>
      </c>
      <c r="G335">
        <f>IF($A335="","",IFERROR(AVERAGEIFS(Orders_Log!$H:$H,Orders_Log!$C:$C,$A335,Orders_Log!$H:$H,"&gt;0"),0))</f>
        <v/>
      </c>
      <c r="H335">
        <f>IF($A335="","",COUNTIFS(Orders_Log!$C:$C,$A335,Orders_Log!$P:$P,"Returned to Picker"))</f>
        <v/>
      </c>
    </row>
    <row r="336">
      <c r="B336">
        <f>IF($A336="","",COUNTIFS(Orders_Log!$C:$C,$A336,Orders_Log!$B:$B,"&lt;&gt;"))</f>
        <v/>
      </c>
      <c r="C336">
        <f>IF($A336="","",COUNTIFS(Orders_Log!$C:$C,$A336,Orders_Log!$M:$M,"Yes"))</f>
        <v/>
      </c>
      <c r="D336" s="5">
        <f>IF(B336=0,0,C336/B336)</f>
        <v/>
      </c>
      <c r="E336">
        <f>IF($A336="","",SUMIFS(Orders_Log!$I:$I,Orders_Log!$C:$C,$A336))</f>
        <v/>
      </c>
      <c r="F336">
        <f>IF(B336=0,0,E336/B336)</f>
        <v/>
      </c>
      <c r="G336">
        <f>IF($A336="","",IFERROR(AVERAGEIFS(Orders_Log!$H:$H,Orders_Log!$C:$C,$A336,Orders_Log!$H:$H,"&gt;0"),0))</f>
        <v/>
      </c>
      <c r="H336">
        <f>IF($A336="","",COUNTIFS(Orders_Log!$C:$C,$A336,Orders_Log!$P:$P,"Returned to Picker"))</f>
        <v/>
      </c>
    </row>
    <row r="337">
      <c r="B337">
        <f>IF($A337="","",COUNTIFS(Orders_Log!$C:$C,$A337,Orders_Log!$B:$B,"&lt;&gt;"))</f>
        <v/>
      </c>
      <c r="C337">
        <f>IF($A337="","",COUNTIFS(Orders_Log!$C:$C,$A337,Orders_Log!$M:$M,"Yes"))</f>
        <v/>
      </c>
      <c r="D337" s="5">
        <f>IF(B337=0,0,C337/B337)</f>
        <v/>
      </c>
      <c r="E337">
        <f>IF($A337="","",SUMIFS(Orders_Log!$I:$I,Orders_Log!$C:$C,$A337))</f>
        <v/>
      </c>
      <c r="F337">
        <f>IF(B337=0,0,E337/B337)</f>
        <v/>
      </c>
      <c r="G337">
        <f>IF($A337="","",IFERROR(AVERAGEIFS(Orders_Log!$H:$H,Orders_Log!$C:$C,$A337,Orders_Log!$H:$H,"&gt;0"),0))</f>
        <v/>
      </c>
      <c r="H337">
        <f>IF($A337="","",COUNTIFS(Orders_Log!$C:$C,$A337,Orders_Log!$P:$P,"Returned to Picker"))</f>
        <v/>
      </c>
    </row>
    <row r="338">
      <c r="B338">
        <f>IF($A338="","",COUNTIFS(Orders_Log!$C:$C,$A338,Orders_Log!$B:$B,"&lt;&gt;"))</f>
        <v/>
      </c>
      <c r="C338">
        <f>IF($A338="","",COUNTIFS(Orders_Log!$C:$C,$A338,Orders_Log!$M:$M,"Yes"))</f>
        <v/>
      </c>
      <c r="D338" s="5">
        <f>IF(B338=0,0,C338/B338)</f>
        <v/>
      </c>
      <c r="E338">
        <f>IF($A338="","",SUMIFS(Orders_Log!$I:$I,Orders_Log!$C:$C,$A338))</f>
        <v/>
      </c>
      <c r="F338">
        <f>IF(B338=0,0,E338/B338)</f>
        <v/>
      </c>
      <c r="G338">
        <f>IF($A338="","",IFERROR(AVERAGEIFS(Orders_Log!$H:$H,Orders_Log!$C:$C,$A338,Orders_Log!$H:$H,"&gt;0"),0))</f>
        <v/>
      </c>
      <c r="H338">
        <f>IF($A338="","",COUNTIFS(Orders_Log!$C:$C,$A338,Orders_Log!$P:$P,"Returned to Picker"))</f>
        <v/>
      </c>
    </row>
    <row r="339">
      <c r="B339">
        <f>IF($A339="","",COUNTIFS(Orders_Log!$C:$C,$A339,Orders_Log!$B:$B,"&lt;&gt;"))</f>
        <v/>
      </c>
      <c r="C339">
        <f>IF($A339="","",COUNTIFS(Orders_Log!$C:$C,$A339,Orders_Log!$M:$M,"Yes"))</f>
        <v/>
      </c>
      <c r="D339" s="5">
        <f>IF(B339=0,0,C339/B339)</f>
        <v/>
      </c>
      <c r="E339">
        <f>IF($A339="","",SUMIFS(Orders_Log!$I:$I,Orders_Log!$C:$C,$A339))</f>
        <v/>
      </c>
      <c r="F339">
        <f>IF(B339=0,0,E339/B339)</f>
        <v/>
      </c>
      <c r="G339">
        <f>IF($A339="","",IFERROR(AVERAGEIFS(Orders_Log!$H:$H,Orders_Log!$C:$C,$A339,Orders_Log!$H:$H,"&gt;0"),0))</f>
        <v/>
      </c>
      <c r="H339">
        <f>IF($A339="","",COUNTIFS(Orders_Log!$C:$C,$A339,Orders_Log!$P:$P,"Returned to Picker"))</f>
        <v/>
      </c>
    </row>
    <row r="340">
      <c r="B340">
        <f>IF($A340="","",COUNTIFS(Orders_Log!$C:$C,$A340,Orders_Log!$B:$B,"&lt;&gt;"))</f>
        <v/>
      </c>
      <c r="C340">
        <f>IF($A340="","",COUNTIFS(Orders_Log!$C:$C,$A340,Orders_Log!$M:$M,"Yes"))</f>
        <v/>
      </c>
      <c r="D340" s="5">
        <f>IF(B340=0,0,C340/B340)</f>
        <v/>
      </c>
      <c r="E340">
        <f>IF($A340="","",SUMIFS(Orders_Log!$I:$I,Orders_Log!$C:$C,$A340))</f>
        <v/>
      </c>
      <c r="F340">
        <f>IF(B340=0,0,E340/B340)</f>
        <v/>
      </c>
      <c r="G340">
        <f>IF($A340="","",IFERROR(AVERAGEIFS(Orders_Log!$H:$H,Orders_Log!$C:$C,$A340,Orders_Log!$H:$H,"&gt;0"),0))</f>
        <v/>
      </c>
      <c r="H340">
        <f>IF($A340="","",COUNTIFS(Orders_Log!$C:$C,$A340,Orders_Log!$P:$P,"Returned to Picker"))</f>
        <v/>
      </c>
    </row>
    <row r="341">
      <c r="B341">
        <f>IF($A341="","",COUNTIFS(Orders_Log!$C:$C,$A341,Orders_Log!$B:$B,"&lt;&gt;"))</f>
        <v/>
      </c>
      <c r="C341">
        <f>IF($A341="","",COUNTIFS(Orders_Log!$C:$C,$A341,Orders_Log!$M:$M,"Yes"))</f>
        <v/>
      </c>
      <c r="D341" s="5">
        <f>IF(B341=0,0,C341/B341)</f>
        <v/>
      </c>
      <c r="E341">
        <f>IF($A341="","",SUMIFS(Orders_Log!$I:$I,Orders_Log!$C:$C,$A341))</f>
        <v/>
      </c>
      <c r="F341">
        <f>IF(B341=0,0,E341/B341)</f>
        <v/>
      </c>
      <c r="G341">
        <f>IF($A341="","",IFERROR(AVERAGEIFS(Orders_Log!$H:$H,Orders_Log!$C:$C,$A341,Orders_Log!$H:$H,"&gt;0"),0))</f>
        <v/>
      </c>
      <c r="H341">
        <f>IF($A341="","",COUNTIFS(Orders_Log!$C:$C,$A341,Orders_Log!$P:$P,"Returned to Picker"))</f>
        <v/>
      </c>
    </row>
    <row r="342">
      <c r="B342">
        <f>IF($A342="","",COUNTIFS(Orders_Log!$C:$C,$A342,Orders_Log!$B:$B,"&lt;&gt;"))</f>
        <v/>
      </c>
      <c r="C342">
        <f>IF($A342="","",COUNTIFS(Orders_Log!$C:$C,$A342,Orders_Log!$M:$M,"Yes"))</f>
        <v/>
      </c>
      <c r="D342" s="5">
        <f>IF(B342=0,0,C342/B342)</f>
        <v/>
      </c>
      <c r="E342">
        <f>IF($A342="","",SUMIFS(Orders_Log!$I:$I,Orders_Log!$C:$C,$A342))</f>
        <v/>
      </c>
      <c r="F342">
        <f>IF(B342=0,0,E342/B342)</f>
        <v/>
      </c>
      <c r="G342">
        <f>IF($A342="","",IFERROR(AVERAGEIFS(Orders_Log!$H:$H,Orders_Log!$C:$C,$A342,Orders_Log!$H:$H,"&gt;0"),0))</f>
        <v/>
      </c>
      <c r="H342">
        <f>IF($A342="","",COUNTIFS(Orders_Log!$C:$C,$A342,Orders_Log!$P:$P,"Returned to Picker"))</f>
        <v/>
      </c>
    </row>
    <row r="343">
      <c r="B343">
        <f>IF($A343="","",COUNTIFS(Orders_Log!$C:$C,$A343,Orders_Log!$B:$B,"&lt;&gt;"))</f>
        <v/>
      </c>
      <c r="C343">
        <f>IF($A343="","",COUNTIFS(Orders_Log!$C:$C,$A343,Orders_Log!$M:$M,"Yes"))</f>
        <v/>
      </c>
      <c r="D343" s="5">
        <f>IF(B343=0,0,C343/B343)</f>
        <v/>
      </c>
      <c r="E343">
        <f>IF($A343="","",SUMIFS(Orders_Log!$I:$I,Orders_Log!$C:$C,$A343))</f>
        <v/>
      </c>
      <c r="F343">
        <f>IF(B343=0,0,E343/B343)</f>
        <v/>
      </c>
      <c r="G343">
        <f>IF($A343="","",IFERROR(AVERAGEIFS(Orders_Log!$H:$H,Orders_Log!$C:$C,$A343,Orders_Log!$H:$H,"&gt;0"),0))</f>
        <v/>
      </c>
      <c r="H343">
        <f>IF($A343="","",COUNTIFS(Orders_Log!$C:$C,$A343,Orders_Log!$P:$P,"Returned to Picker"))</f>
        <v/>
      </c>
    </row>
    <row r="344">
      <c r="B344">
        <f>IF($A344="","",COUNTIFS(Orders_Log!$C:$C,$A344,Orders_Log!$B:$B,"&lt;&gt;"))</f>
        <v/>
      </c>
      <c r="C344">
        <f>IF($A344="","",COUNTIFS(Orders_Log!$C:$C,$A344,Orders_Log!$M:$M,"Yes"))</f>
        <v/>
      </c>
      <c r="D344" s="5">
        <f>IF(B344=0,0,C344/B344)</f>
        <v/>
      </c>
      <c r="E344">
        <f>IF($A344="","",SUMIFS(Orders_Log!$I:$I,Orders_Log!$C:$C,$A344))</f>
        <v/>
      </c>
      <c r="F344">
        <f>IF(B344=0,0,E344/B344)</f>
        <v/>
      </c>
      <c r="G344">
        <f>IF($A344="","",IFERROR(AVERAGEIFS(Orders_Log!$H:$H,Orders_Log!$C:$C,$A344,Orders_Log!$H:$H,"&gt;0"),0))</f>
        <v/>
      </c>
      <c r="H344">
        <f>IF($A344="","",COUNTIFS(Orders_Log!$C:$C,$A344,Orders_Log!$P:$P,"Returned to Picker"))</f>
        <v/>
      </c>
    </row>
    <row r="345">
      <c r="B345">
        <f>IF($A345="","",COUNTIFS(Orders_Log!$C:$C,$A345,Orders_Log!$B:$B,"&lt;&gt;"))</f>
        <v/>
      </c>
      <c r="C345">
        <f>IF($A345="","",COUNTIFS(Orders_Log!$C:$C,$A345,Orders_Log!$M:$M,"Yes"))</f>
        <v/>
      </c>
      <c r="D345" s="5">
        <f>IF(B345=0,0,C345/B345)</f>
        <v/>
      </c>
      <c r="E345">
        <f>IF($A345="","",SUMIFS(Orders_Log!$I:$I,Orders_Log!$C:$C,$A345))</f>
        <v/>
      </c>
      <c r="F345">
        <f>IF(B345=0,0,E345/B345)</f>
        <v/>
      </c>
      <c r="G345">
        <f>IF($A345="","",IFERROR(AVERAGEIFS(Orders_Log!$H:$H,Orders_Log!$C:$C,$A345,Orders_Log!$H:$H,"&gt;0"),0))</f>
        <v/>
      </c>
      <c r="H345">
        <f>IF($A345="","",COUNTIFS(Orders_Log!$C:$C,$A345,Orders_Log!$P:$P,"Returned to Picker"))</f>
        <v/>
      </c>
    </row>
    <row r="346">
      <c r="B346">
        <f>IF($A346="","",COUNTIFS(Orders_Log!$C:$C,$A346,Orders_Log!$B:$B,"&lt;&gt;"))</f>
        <v/>
      </c>
      <c r="C346">
        <f>IF($A346="","",COUNTIFS(Orders_Log!$C:$C,$A346,Orders_Log!$M:$M,"Yes"))</f>
        <v/>
      </c>
      <c r="D346" s="5">
        <f>IF(B346=0,0,C346/B346)</f>
        <v/>
      </c>
      <c r="E346">
        <f>IF($A346="","",SUMIFS(Orders_Log!$I:$I,Orders_Log!$C:$C,$A346))</f>
        <v/>
      </c>
      <c r="F346">
        <f>IF(B346=0,0,E346/B346)</f>
        <v/>
      </c>
      <c r="G346">
        <f>IF($A346="","",IFERROR(AVERAGEIFS(Orders_Log!$H:$H,Orders_Log!$C:$C,$A346,Orders_Log!$H:$H,"&gt;0"),0))</f>
        <v/>
      </c>
      <c r="H346">
        <f>IF($A346="","",COUNTIFS(Orders_Log!$C:$C,$A346,Orders_Log!$P:$P,"Returned to Picker"))</f>
        <v/>
      </c>
    </row>
    <row r="347">
      <c r="B347">
        <f>IF($A347="","",COUNTIFS(Orders_Log!$C:$C,$A347,Orders_Log!$B:$B,"&lt;&gt;"))</f>
        <v/>
      </c>
      <c r="C347">
        <f>IF($A347="","",COUNTIFS(Orders_Log!$C:$C,$A347,Orders_Log!$M:$M,"Yes"))</f>
        <v/>
      </c>
      <c r="D347" s="5">
        <f>IF(B347=0,0,C347/B347)</f>
        <v/>
      </c>
      <c r="E347">
        <f>IF($A347="","",SUMIFS(Orders_Log!$I:$I,Orders_Log!$C:$C,$A347))</f>
        <v/>
      </c>
      <c r="F347">
        <f>IF(B347=0,0,E347/B347)</f>
        <v/>
      </c>
      <c r="G347">
        <f>IF($A347="","",IFERROR(AVERAGEIFS(Orders_Log!$H:$H,Orders_Log!$C:$C,$A347,Orders_Log!$H:$H,"&gt;0"),0))</f>
        <v/>
      </c>
      <c r="H347">
        <f>IF($A347="","",COUNTIFS(Orders_Log!$C:$C,$A347,Orders_Log!$P:$P,"Returned to Picker"))</f>
        <v/>
      </c>
    </row>
    <row r="348">
      <c r="B348">
        <f>IF($A348="","",COUNTIFS(Orders_Log!$C:$C,$A348,Orders_Log!$B:$B,"&lt;&gt;"))</f>
        <v/>
      </c>
      <c r="C348">
        <f>IF($A348="","",COUNTIFS(Orders_Log!$C:$C,$A348,Orders_Log!$M:$M,"Yes"))</f>
        <v/>
      </c>
      <c r="D348" s="5">
        <f>IF(B348=0,0,C348/B348)</f>
        <v/>
      </c>
      <c r="E348">
        <f>IF($A348="","",SUMIFS(Orders_Log!$I:$I,Orders_Log!$C:$C,$A348))</f>
        <v/>
      </c>
      <c r="F348">
        <f>IF(B348=0,0,E348/B348)</f>
        <v/>
      </c>
      <c r="G348">
        <f>IF($A348="","",IFERROR(AVERAGEIFS(Orders_Log!$H:$H,Orders_Log!$C:$C,$A348,Orders_Log!$H:$H,"&gt;0"),0))</f>
        <v/>
      </c>
      <c r="H348">
        <f>IF($A348="","",COUNTIFS(Orders_Log!$C:$C,$A348,Orders_Log!$P:$P,"Returned to Picker"))</f>
        <v/>
      </c>
    </row>
    <row r="349">
      <c r="B349">
        <f>IF($A349="","",COUNTIFS(Orders_Log!$C:$C,$A349,Orders_Log!$B:$B,"&lt;&gt;"))</f>
        <v/>
      </c>
      <c r="C349">
        <f>IF($A349="","",COUNTIFS(Orders_Log!$C:$C,$A349,Orders_Log!$M:$M,"Yes"))</f>
        <v/>
      </c>
      <c r="D349" s="5">
        <f>IF(B349=0,0,C349/B349)</f>
        <v/>
      </c>
      <c r="E349">
        <f>IF($A349="","",SUMIFS(Orders_Log!$I:$I,Orders_Log!$C:$C,$A349))</f>
        <v/>
      </c>
      <c r="F349">
        <f>IF(B349=0,0,E349/B349)</f>
        <v/>
      </c>
      <c r="G349">
        <f>IF($A349="","",IFERROR(AVERAGEIFS(Orders_Log!$H:$H,Orders_Log!$C:$C,$A349,Orders_Log!$H:$H,"&gt;0"),0))</f>
        <v/>
      </c>
      <c r="H349">
        <f>IF($A349="","",COUNTIFS(Orders_Log!$C:$C,$A349,Orders_Log!$P:$P,"Returned to Picker"))</f>
        <v/>
      </c>
    </row>
    <row r="350">
      <c r="B350">
        <f>IF($A350="","",COUNTIFS(Orders_Log!$C:$C,$A350,Orders_Log!$B:$B,"&lt;&gt;"))</f>
        <v/>
      </c>
      <c r="C350">
        <f>IF($A350="","",COUNTIFS(Orders_Log!$C:$C,$A350,Orders_Log!$M:$M,"Yes"))</f>
        <v/>
      </c>
      <c r="D350" s="5">
        <f>IF(B350=0,0,C350/B350)</f>
        <v/>
      </c>
      <c r="E350">
        <f>IF($A350="","",SUMIFS(Orders_Log!$I:$I,Orders_Log!$C:$C,$A350))</f>
        <v/>
      </c>
      <c r="F350">
        <f>IF(B350=0,0,E350/B350)</f>
        <v/>
      </c>
      <c r="G350">
        <f>IF($A350="","",IFERROR(AVERAGEIFS(Orders_Log!$H:$H,Orders_Log!$C:$C,$A350,Orders_Log!$H:$H,"&gt;0"),0))</f>
        <v/>
      </c>
      <c r="H350">
        <f>IF($A350="","",COUNTIFS(Orders_Log!$C:$C,$A350,Orders_Log!$P:$P,"Returned to Picker"))</f>
        <v/>
      </c>
    </row>
    <row r="351">
      <c r="B351">
        <f>IF($A351="","",COUNTIFS(Orders_Log!$C:$C,$A351,Orders_Log!$B:$B,"&lt;&gt;"))</f>
        <v/>
      </c>
      <c r="C351">
        <f>IF($A351="","",COUNTIFS(Orders_Log!$C:$C,$A351,Orders_Log!$M:$M,"Yes"))</f>
        <v/>
      </c>
      <c r="D351" s="5">
        <f>IF(B351=0,0,C351/B351)</f>
        <v/>
      </c>
      <c r="E351">
        <f>IF($A351="","",SUMIFS(Orders_Log!$I:$I,Orders_Log!$C:$C,$A351))</f>
        <v/>
      </c>
      <c r="F351">
        <f>IF(B351=0,0,E351/B351)</f>
        <v/>
      </c>
      <c r="G351">
        <f>IF($A351="","",IFERROR(AVERAGEIFS(Orders_Log!$H:$H,Orders_Log!$C:$C,$A351,Orders_Log!$H:$H,"&gt;0"),0))</f>
        <v/>
      </c>
      <c r="H351">
        <f>IF($A351="","",COUNTIFS(Orders_Log!$C:$C,$A351,Orders_Log!$P:$P,"Returned to Picker"))</f>
        <v/>
      </c>
    </row>
    <row r="352">
      <c r="B352">
        <f>IF($A352="","",COUNTIFS(Orders_Log!$C:$C,$A352,Orders_Log!$B:$B,"&lt;&gt;"))</f>
        <v/>
      </c>
      <c r="C352">
        <f>IF($A352="","",COUNTIFS(Orders_Log!$C:$C,$A352,Orders_Log!$M:$M,"Yes"))</f>
        <v/>
      </c>
      <c r="D352" s="5">
        <f>IF(B352=0,0,C352/B352)</f>
        <v/>
      </c>
      <c r="E352">
        <f>IF($A352="","",SUMIFS(Orders_Log!$I:$I,Orders_Log!$C:$C,$A352))</f>
        <v/>
      </c>
      <c r="F352">
        <f>IF(B352=0,0,E352/B352)</f>
        <v/>
      </c>
      <c r="G352">
        <f>IF($A352="","",IFERROR(AVERAGEIFS(Orders_Log!$H:$H,Orders_Log!$C:$C,$A352,Orders_Log!$H:$H,"&gt;0"),0))</f>
        <v/>
      </c>
      <c r="H352">
        <f>IF($A352="","",COUNTIFS(Orders_Log!$C:$C,$A352,Orders_Log!$P:$P,"Returned to Picker"))</f>
        <v/>
      </c>
    </row>
    <row r="353">
      <c r="B353">
        <f>IF($A353="","",COUNTIFS(Orders_Log!$C:$C,$A353,Orders_Log!$B:$B,"&lt;&gt;"))</f>
        <v/>
      </c>
      <c r="C353">
        <f>IF($A353="","",COUNTIFS(Orders_Log!$C:$C,$A353,Orders_Log!$M:$M,"Yes"))</f>
        <v/>
      </c>
      <c r="D353" s="5">
        <f>IF(B353=0,0,C353/B353)</f>
        <v/>
      </c>
      <c r="E353">
        <f>IF($A353="","",SUMIFS(Orders_Log!$I:$I,Orders_Log!$C:$C,$A353))</f>
        <v/>
      </c>
      <c r="F353">
        <f>IF(B353=0,0,E353/B353)</f>
        <v/>
      </c>
      <c r="G353">
        <f>IF($A353="","",IFERROR(AVERAGEIFS(Orders_Log!$H:$H,Orders_Log!$C:$C,$A353,Orders_Log!$H:$H,"&gt;0"),0))</f>
        <v/>
      </c>
      <c r="H353">
        <f>IF($A353="","",COUNTIFS(Orders_Log!$C:$C,$A353,Orders_Log!$P:$P,"Returned to Picker"))</f>
        <v/>
      </c>
    </row>
    <row r="354">
      <c r="B354">
        <f>IF($A354="","",COUNTIFS(Orders_Log!$C:$C,$A354,Orders_Log!$B:$B,"&lt;&gt;"))</f>
        <v/>
      </c>
      <c r="C354">
        <f>IF($A354="","",COUNTIFS(Orders_Log!$C:$C,$A354,Orders_Log!$M:$M,"Yes"))</f>
        <v/>
      </c>
      <c r="D354" s="5">
        <f>IF(B354=0,0,C354/B354)</f>
        <v/>
      </c>
      <c r="E354">
        <f>IF($A354="","",SUMIFS(Orders_Log!$I:$I,Orders_Log!$C:$C,$A354))</f>
        <v/>
      </c>
      <c r="F354">
        <f>IF(B354=0,0,E354/B354)</f>
        <v/>
      </c>
      <c r="G354">
        <f>IF($A354="","",IFERROR(AVERAGEIFS(Orders_Log!$H:$H,Orders_Log!$C:$C,$A354,Orders_Log!$H:$H,"&gt;0"),0))</f>
        <v/>
      </c>
      <c r="H354">
        <f>IF($A354="","",COUNTIFS(Orders_Log!$C:$C,$A354,Orders_Log!$P:$P,"Returned to Picker"))</f>
        <v/>
      </c>
    </row>
    <row r="355">
      <c r="B355">
        <f>IF($A355="","",COUNTIFS(Orders_Log!$C:$C,$A355,Orders_Log!$B:$B,"&lt;&gt;"))</f>
        <v/>
      </c>
      <c r="C355">
        <f>IF($A355="","",COUNTIFS(Orders_Log!$C:$C,$A355,Orders_Log!$M:$M,"Yes"))</f>
        <v/>
      </c>
      <c r="D355" s="5">
        <f>IF(B355=0,0,C355/B355)</f>
        <v/>
      </c>
      <c r="E355">
        <f>IF($A355="","",SUMIFS(Orders_Log!$I:$I,Orders_Log!$C:$C,$A355))</f>
        <v/>
      </c>
      <c r="F355">
        <f>IF(B355=0,0,E355/B355)</f>
        <v/>
      </c>
      <c r="G355">
        <f>IF($A355="","",IFERROR(AVERAGEIFS(Orders_Log!$H:$H,Orders_Log!$C:$C,$A355,Orders_Log!$H:$H,"&gt;0"),0))</f>
        <v/>
      </c>
      <c r="H355">
        <f>IF($A355="","",COUNTIFS(Orders_Log!$C:$C,$A355,Orders_Log!$P:$P,"Returned to Picker"))</f>
        <v/>
      </c>
    </row>
    <row r="356">
      <c r="B356">
        <f>IF($A356="","",COUNTIFS(Orders_Log!$C:$C,$A356,Orders_Log!$B:$B,"&lt;&gt;"))</f>
        <v/>
      </c>
      <c r="C356">
        <f>IF($A356="","",COUNTIFS(Orders_Log!$C:$C,$A356,Orders_Log!$M:$M,"Yes"))</f>
        <v/>
      </c>
      <c r="D356" s="5">
        <f>IF(B356=0,0,C356/B356)</f>
        <v/>
      </c>
      <c r="E356">
        <f>IF($A356="","",SUMIFS(Orders_Log!$I:$I,Orders_Log!$C:$C,$A356))</f>
        <v/>
      </c>
      <c r="F356">
        <f>IF(B356=0,0,E356/B356)</f>
        <v/>
      </c>
      <c r="G356">
        <f>IF($A356="","",IFERROR(AVERAGEIFS(Orders_Log!$H:$H,Orders_Log!$C:$C,$A356,Orders_Log!$H:$H,"&gt;0"),0))</f>
        <v/>
      </c>
      <c r="H356">
        <f>IF($A356="","",COUNTIFS(Orders_Log!$C:$C,$A356,Orders_Log!$P:$P,"Returned to Picker"))</f>
        <v/>
      </c>
    </row>
    <row r="357">
      <c r="B357">
        <f>IF($A357="","",COUNTIFS(Orders_Log!$C:$C,$A357,Orders_Log!$B:$B,"&lt;&gt;"))</f>
        <v/>
      </c>
      <c r="C357">
        <f>IF($A357="","",COUNTIFS(Orders_Log!$C:$C,$A357,Orders_Log!$M:$M,"Yes"))</f>
        <v/>
      </c>
      <c r="D357" s="5">
        <f>IF(B357=0,0,C357/B357)</f>
        <v/>
      </c>
      <c r="E357">
        <f>IF($A357="","",SUMIFS(Orders_Log!$I:$I,Orders_Log!$C:$C,$A357))</f>
        <v/>
      </c>
      <c r="F357">
        <f>IF(B357=0,0,E357/B357)</f>
        <v/>
      </c>
      <c r="G357">
        <f>IF($A357="","",IFERROR(AVERAGEIFS(Orders_Log!$H:$H,Orders_Log!$C:$C,$A357,Orders_Log!$H:$H,"&gt;0"),0))</f>
        <v/>
      </c>
      <c r="H357">
        <f>IF($A357="","",COUNTIFS(Orders_Log!$C:$C,$A357,Orders_Log!$P:$P,"Returned to Picker"))</f>
        <v/>
      </c>
    </row>
    <row r="358">
      <c r="B358">
        <f>IF($A358="","",COUNTIFS(Orders_Log!$C:$C,$A358,Orders_Log!$B:$B,"&lt;&gt;"))</f>
        <v/>
      </c>
      <c r="C358">
        <f>IF($A358="","",COUNTIFS(Orders_Log!$C:$C,$A358,Orders_Log!$M:$M,"Yes"))</f>
        <v/>
      </c>
      <c r="D358" s="5">
        <f>IF(B358=0,0,C358/B358)</f>
        <v/>
      </c>
      <c r="E358">
        <f>IF($A358="","",SUMIFS(Orders_Log!$I:$I,Orders_Log!$C:$C,$A358))</f>
        <v/>
      </c>
      <c r="F358">
        <f>IF(B358=0,0,E358/B358)</f>
        <v/>
      </c>
      <c r="G358">
        <f>IF($A358="","",IFERROR(AVERAGEIFS(Orders_Log!$H:$H,Orders_Log!$C:$C,$A358,Orders_Log!$H:$H,"&gt;0"),0))</f>
        <v/>
      </c>
      <c r="H358">
        <f>IF($A358="","",COUNTIFS(Orders_Log!$C:$C,$A358,Orders_Log!$P:$P,"Returned to Picker"))</f>
        <v/>
      </c>
    </row>
    <row r="359">
      <c r="B359">
        <f>IF($A359="","",COUNTIFS(Orders_Log!$C:$C,$A359,Orders_Log!$B:$B,"&lt;&gt;"))</f>
        <v/>
      </c>
      <c r="C359">
        <f>IF($A359="","",COUNTIFS(Orders_Log!$C:$C,$A359,Orders_Log!$M:$M,"Yes"))</f>
        <v/>
      </c>
      <c r="D359" s="5">
        <f>IF(B359=0,0,C359/B359)</f>
        <v/>
      </c>
      <c r="E359">
        <f>IF($A359="","",SUMIFS(Orders_Log!$I:$I,Orders_Log!$C:$C,$A359))</f>
        <v/>
      </c>
      <c r="F359">
        <f>IF(B359=0,0,E359/B359)</f>
        <v/>
      </c>
      <c r="G359">
        <f>IF($A359="","",IFERROR(AVERAGEIFS(Orders_Log!$H:$H,Orders_Log!$C:$C,$A359,Orders_Log!$H:$H,"&gt;0"),0))</f>
        <v/>
      </c>
      <c r="H359">
        <f>IF($A359="","",COUNTIFS(Orders_Log!$C:$C,$A359,Orders_Log!$P:$P,"Returned to Picker"))</f>
        <v/>
      </c>
    </row>
    <row r="360">
      <c r="B360">
        <f>IF($A360="","",COUNTIFS(Orders_Log!$C:$C,$A360,Orders_Log!$B:$B,"&lt;&gt;"))</f>
        <v/>
      </c>
      <c r="C360">
        <f>IF($A360="","",COUNTIFS(Orders_Log!$C:$C,$A360,Orders_Log!$M:$M,"Yes"))</f>
        <v/>
      </c>
      <c r="D360" s="5">
        <f>IF(B360=0,0,C360/B360)</f>
        <v/>
      </c>
      <c r="E360">
        <f>IF($A360="","",SUMIFS(Orders_Log!$I:$I,Orders_Log!$C:$C,$A360))</f>
        <v/>
      </c>
      <c r="F360">
        <f>IF(B360=0,0,E360/B360)</f>
        <v/>
      </c>
      <c r="G360">
        <f>IF($A360="","",IFERROR(AVERAGEIFS(Orders_Log!$H:$H,Orders_Log!$C:$C,$A360,Orders_Log!$H:$H,"&gt;0"),0))</f>
        <v/>
      </c>
      <c r="H360">
        <f>IF($A360="","",COUNTIFS(Orders_Log!$C:$C,$A360,Orders_Log!$P:$P,"Returned to Picker"))</f>
        <v/>
      </c>
    </row>
    <row r="361">
      <c r="B361">
        <f>IF($A361="","",COUNTIFS(Orders_Log!$C:$C,$A361,Orders_Log!$B:$B,"&lt;&gt;"))</f>
        <v/>
      </c>
      <c r="C361">
        <f>IF($A361="","",COUNTIFS(Orders_Log!$C:$C,$A361,Orders_Log!$M:$M,"Yes"))</f>
        <v/>
      </c>
      <c r="D361" s="5">
        <f>IF(B361=0,0,C361/B361)</f>
        <v/>
      </c>
      <c r="E361">
        <f>IF($A361="","",SUMIFS(Orders_Log!$I:$I,Orders_Log!$C:$C,$A361))</f>
        <v/>
      </c>
      <c r="F361">
        <f>IF(B361=0,0,E361/B361)</f>
        <v/>
      </c>
      <c r="G361">
        <f>IF($A361="","",IFERROR(AVERAGEIFS(Orders_Log!$H:$H,Orders_Log!$C:$C,$A361,Orders_Log!$H:$H,"&gt;0"),0))</f>
        <v/>
      </c>
      <c r="H361">
        <f>IF($A361="","",COUNTIFS(Orders_Log!$C:$C,$A361,Orders_Log!$P:$P,"Returned to Picker"))</f>
        <v/>
      </c>
    </row>
    <row r="362">
      <c r="B362">
        <f>IF($A362="","",COUNTIFS(Orders_Log!$C:$C,$A362,Orders_Log!$B:$B,"&lt;&gt;"))</f>
        <v/>
      </c>
      <c r="C362">
        <f>IF($A362="","",COUNTIFS(Orders_Log!$C:$C,$A362,Orders_Log!$M:$M,"Yes"))</f>
        <v/>
      </c>
      <c r="D362" s="5">
        <f>IF(B362=0,0,C362/B362)</f>
        <v/>
      </c>
      <c r="E362">
        <f>IF($A362="","",SUMIFS(Orders_Log!$I:$I,Orders_Log!$C:$C,$A362))</f>
        <v/>
      </c>
      <c r="F362">
        <f>IF(B362=0,0,E362/B362)</f>
        <v/>
      </c>
      <c r="G362">
        <f>IF($A362="","",IFERROR(AVERAGEIFS(Orders_Log!$H:$H,Orders_Log!$C:$C,$A362,Orders_Log!$H:$H,"&gt;0"),0))</f>
        <v/>
      </c>
      <c r="H362">
        <f>IF($A362="","",COUNTIFS(Orders_Log!$C:$C,$A362,Orders_Log!$P:$P,"Returned to Picker"))</f>
        <v/>
      </c>
    </row>
    <row r="363">
      <c r="B363">
        <f>IF($A363="","",COUNTIFS(Orders_Log!$C:$C,$A363,Orders_Log!$B:$B,"&lt;&gt;"))</f>
        <v/>
      </c>
      <c r="C363">
        <f>IF($A363="","",COUNTIFS(Orders_Log!$C:$C,$A363,Orders_Log!$M:$M,"Yes"))</f>
        <v/>
      </c>
      <c r="D363" s="5">
        <f>IF(B363=0,0,C363/B363)</f>
        <v/>
      </c>
      <c r="E363">
        <f>IF($A363="","",SUMIFS(Orders_Log!$I:$I,Orders_Log!$C:$C,$A363))</f>
        <v/>
      </c>
      <c r="F363">
        <f>IF(B363=0,0,E363/B363)</f>
        <v/>
      </c>
      <c r="G363">
        <f>IF($A363="","",IFERROR(AVERAGEIFS(Orders_Log!$H:$H,Orders_Log!$C:$C,$A363,Orders_Log!$H:$H,"&gt;0"),0))</f>
        <v/>
      </c>
      <c r="H363">
        <f>IF($A363="","",COUNTIFS(Orders_Log!$C:$C,$A363,Orders_Log!$P:$P,"Returned to Picker"))</f>
        <v/>
      </c>
    </row>
    <row r="364">
      <c r="B364">
        <f>IF($A364="","",COUNTIFS(Orders_Log!$C:$C,$A364,Orders_Log!$B:$B,"&lt;&gt;"))</f>
        <v/>
      </c>
      <c r="C364">
        <f>IF($A364="","",COUNTIFS(Orders_Log!$C:$C,$A364,Orders_Log!$M:$M,"Yes"))</f>
        <v/>
      </c>
      <c r="D364" s="5">
        <f>IF(B364=0,0,C364/B364)</f>
        <v/>
      </c>
      <c r="E364">
        <f>IF($A364="","",SUMIFS(Orders_Log!$I:$I,Orders_Log!$C:$C,$A364))</f>
        <v/>
      </c>
      <c r="F364">
        <f>IF(B364=0,0,E364/B364)</f>
        <v/>
      </c>
      <c r="G364">
        <f>IF($A364="","",IFERROR(AVERAGEIFS(Orders_Log!$H:$H,Orders_Log!$C:$C,$A364,Orders_Log!$H:$H,"&gt;0"),0))</f>
        <v/>
      </c>
      <c r="H364">
        <f>IF($A364="","",COUNTIFS(Orders_Log!$C:$C,$A364,Orders_Log!$P:$P,"Returned to Picker"))</f>
        <v/>
      </c>
    </row>
    <row r="365">
      <c r="B365">
        <f>IF($A365="","",COUNTIFS(Orders_Log!$C:$C,$A365,Orders_Log!$B:$B,"&lt;&gt;"))</f>
        <v/>
      </c>
      <c r="C365">
        <f>IF($A365="","",COUNTIFS(Orders_Log!$C:$C,$A365,Orders_Log!$M:$M,"Yes"))</f>
        <v/>
      </c>
      <c r="D365" s="5">
        <f>IF(B365=0,0,C365/B365)</f>
        <v/>
      </c>
      <c r="E365">
        <f>IF($A365="","",SUMIFS(Orders_Log!$I:$I,Orders_Log!$C:$C,$A365))</f>
        <v/>
      </c>
      <c r="F365">
        <f>IF(B365=0,0,E365/B365)</f>
        <v/>
      </c>
      <c r="G365">
        <f>IF($A365="","",IFERROR(AVERAGEIFS(Orders_Log!$H:$H,Orders_Log!$C:$C,$A365,Orders_Log!$H:$H,"&gt;0"),0))</f>
        <v/>
      </c>
      <c r="H365">
        <f>IF($A365="","",COUNTIFS(Orders_Log!$C:$C,$A365,Orders_Log!$P:$P,"Returned to Picker"))</f>
        <v/>
      </c>
    </row>
    <row r="366">
      <c r="B366">
        <f>IF($A366="","",COUNTIFS(Orders_Log!$C:$C,$A366,Orders_Log!$B:$B,"&lt;&gt;"))</f>
        <v/>
      </c>
      <c r="C366">
        <f>IF($A366="","",COUNTIFS(Orders_Log!$C:$C,$A366,Orders_Log!$M:$M,"Yes"))</f>
        <v/>
      </c>
      <c r="D366" s="5">
        <f>IF(B366=0,0,C366/B366)</f>
        <v/>
      </c>
      <c r="E366">
        <f>IF($A366="","",SUMIFS(Orders_Log!$I:$I,Orders_Log!$C:$C,$A366))</f>
        <v/>
      </c>
      <c r="F366">
        <f>IF(B366=0,0,E366/B366)</f>
        <v/>
      </c>
      <c r="G366">
        <f>IF($A366="","",IFERROR(AVERAGEIFS(Orders_Log!$H:$H,Orders_Log!$C:$C,$A366,Orders_Log!$H:$H,"&gt;0"),0))</f>
        <v/>
      </c>
      <c r="H366">
        <f>IF($A366="","",COUNTIFS(Orders_Log!$C:$C,$A366,Orders_Log!$P:$P,"Returned to Picker"))</f>
        <v/>
      </c>
    </row>
    <row r="367">
      <c r="B367">
        <f>IF($A367="","",COUNTIFS(Orders_Log!$C:$C,$A367,Orders_Log!$B:$B,"&lt;&gt;"))</f>
        <v/>
      </c>
      <c r="C367">
        <f>IF($A367="","",COUNTIFS(Orders_Log!$C:$C,$A367,Orders_Log!$M:$M,"Yes"))</f>
        <v/>
      </c>
      <c r="D367" s="5">
        <f>IF(B367=0,0,C367/B367)</f>
        <v/>
      </c>
      <c r="E367">
        <f>IF($A367="","",SUMIFS(Orders_Log!$I:$I,Orders_Log!$C:$C,$A367))</f>
        <v/>
      </c>
      <c r="F367">
        <f>IF(B367=0,0,E367/B367)</f>
        <v/>
      </c>
      <c r="G367">
        <f>IF($A367="","",IFERROR(AVERAGEIFS(Orders_Log!$H:$H,Orders_Log!$C:$C,$A367,Orders_Log!$H:$H,"&gt;0"),0))</f>
        <v/>
      </c>
      <c r="H367">
        <f>IF($A367="","",COUNTIFS(Orders_Log!$C:$C,$A367,Orders_Log!$P:$P,"Returned to Picker"))</f>
        <v/>
      </c>
    </row>
    <row r="368">
      <c r="B368">
        <f>IF($A368="","",COUNTIFS(Orders_Log!$C:$C,$A368,Orders_Log!$B:$B,"&lt;&gt;"))</f>
        <v/>
      </c>
      <c r="C368">
        <f>IF($A368="","",COUNTIFS(Orders_Log!$C:$C,$A368,Orders_Log!$M:$M,"Yes"))</f>
        <v/>
      </c>
      <c r="D368" s="5">
        <f>IF(B368=0,0,C368/B368)</f>
        <v/>
      </c>
      <c r="E368">
        <f>IF($A368="","",SUMIFS(Orders_Log!$I:$I,Orders_Log!$C:$C,$A368))</f>
        <v/>
      </c>
      <c r="F368">
        <f>IF(B368=0,0,E368/B368)</f>
        <v/>
      </c>
      <c r="G368">
        <f>IF($A368="","",IFERROR(AVERAGEIFS(Orders_Log!$H:$H,Orders_Log!$C:$C,$A368,Orders_Log!$H:$H,"&gt;0"),0))</f>
        <v/>
      </c>
      <c r="H368">
        <f>IF($A368="","",COUNTIFS(Orders_Log!$C:$C,$A368,Orders_Log!$P:$P,"Returned to Picker"))</f>
        <v/>
      </c>
    </row>
    <row r="369">
      <c r="B369">
        <f>IF($A369="","",COUNTIFS(Orders_Log!$C:$C,$A369,Orders_Log!$B:$B,"&lt;&gt;"))</f>
        <v/>
      </c>
      <c r="C369">
        <f>IF($A369="","",COUNTIFS(Orders_Log!$C:$C,$A369,Orders_Log!$M:$M,"Yes"))</f>
        <v/>
      </c>
      <c r="D369" s="5">
        <f>IF(B369=0,0,C369/B369)</f>
        <v/>
      </c>
      <c r="E369">
        <f>IF($A369="","",SUMIFS(Orders_Log!$I:$I,Orders_Log!$C:$C,$A369))</f>
        <v/>
      </c>
      <c r="F369">
        <f>IF(B369=0,0,E369/B369)</f>
        <v/>
      </c>
      <c r="G369">
        <f>IF($A369="","",IFERROR(AVERAGEIFS(Orders_Log!$H:$H,Orders_Log!$C:$C,$A369,Orders_Log!$H:$H,"&gt;0"),0))</f>
        <v/>
      </c>
      <c r="H369">
        <f>IF($A369="","",COUNTIFS(Orders_Log!$C:$C,$A369,Orders_Log!$P:$P,"Returned to Picker"))</f>
        <v/>
      </c>
    </row>
    <row r="370">
      <c r="B370">
        <f>IF($A370="","",COUNTIFS(Orders_Log!$C:$C,$A370,Orders_Log!$B:$B,"&lt;&gt;"))</f>
        <v/>
      </c>
      <c r="C370">
        <f>IF($A370="","",COUNTIFS(Orders_Log!$C:$C,$A370,Orders_Log!$M:$M,"Yes"))</f>
        <v/>
      </c>
      <c r="D370" s="5">
        <f>IF(B370=0,0,C370/B370)</f>
        <v/>
      </c>
      <c r="E370">
        <f>IF($A370="","",SUMIFS(Orders_Log!$I:$I,Orders_Log!$C:$C,$A370))</f>
        <v/>
      </c>
      <c r="F370">
        <f>IF(B370=0,0,E370/B370)</f>
        <v/>
      </c>
      <c r="G370">
        <f>IF($A370="","",IFERROR(AVERAGEIFS(Orders_Log!$H:$H,Orders_Log!$C:$C,$A370,Orders_Log!$H:$H,"&gt;0"),0))</f>
        <v/>
      </c>
      <c r="H370">
        <f>IF($A370="","",COUNTIFS(Orders_Log!$C:$C,$A370,Orders_Log!$P:$P,"Returned to Picker"))</f>
        <v/>
      </c>
    </row>
    <row r="371">
      <c r="B371">
        <f>IF($A371="","",COUNTIFS(Orders_Log!$C:$C,$A371,Orders_Log!$B:$B,"&lt;&gt;"))</f>
        <v/>
      </c>
      <c r="C371">
        <f>IF($A371="","",COUNTIFS(Orders_Log!$C:$C,$A371,Orders_Log!$M:$M,"Yes"))</f>
        <v/>
      </c>
      <c r="D371" s="5">
        <f>IF(B371=0,0,C371/B371)</f>
        <v/>
      </c>
      <c r="E371">
        <f>IF($A371="","",SUMIFS(Orders_Log!$I:$I,Orders_Log!$C:$C,$A371))</f>
        <v/>
      </c>
      <c r="F371">
        <f>IF(B371=0,0,E371/B371)</f>
        <v/>
      </c>
      <c r="G371">
        <f>IF($A371="","",IFERROR(AVERAGEIFS(Orders_Log!$H:$H,Orders_Log!$C:$C,$A371,Orders_Log!$H:$H,"&gt;0"),0))</f>
        <v/>
      </c>
      <c r="H371">
        <f>IF($A371="","",COUNTIFS(Orders_Log!$C:$C,$A371,Orders_Log!$P:$P,"Returned to Picker"))</f>
        <v/>
      </c>
    </row>
    <row r="372">
      <c r="B372">
        <f>IF($A372="","",COUNTIFS(Orders_Log!$C:$C,$A372,Orders_Log!$B:$B,"&lt;&gt;"))</f>
        <v/>
      </c>
      <c r="C372">
        <f>IF($A372="","",COUNTIFS(Orders_Log!$C:$C,$A372,Orders_Log!$M:$M,"Yes"))</f>
        <v/>
      </c>
      <c r="D372" s="5">
        <f>IF(B372=0,0,C372/B372)</f>
        <v/>
      </c>
      <c r="E372">
        <f>IF($A372="","",SUMIFS(Orders_Log!$I:$I,Orders_Log!$C:$C,$A372))</f>
        <v/>
      </c>
      <c r="F372">
        <f>IF(B372=0,0,E372/B372)</f>
        <v/>
      </c>
      <c r="G372">
        <f>IF($A372="","",IFERROR(AVERAGEIFS(Orders_Log!$H:$H,Orders_Log!$C:$C,$A372,Orders_Log!$H:$H,"&gt;0"),0))</f>
        <v/>
      </c>
      <c r="H372">
        <f>IF($A372="","",COUNTIFS(Orders_Log!$C:$C,$A372,Orders_Log!$P:$P,"Returned to Picker"))</f>
        <v/>
      </c>
    </row>
    <row r="373">
      <c r="B373">
        <f>IF($A373="","",COUNTIFS(Orders_Log!$C:$C,$A373,Orders_Log!$B:$B,"&lt;&gt;"))</f>
        <v/>
      </c>
      <c r="C373">
        <f>IF($A373="","",COUNTIFS(Orders_Log!$C:$C,$A373,Orders_Log!$M:$M,"Yes"))</f>
        <v/>
      </c>
      <c r="D373" s="5">
        <f>IF(B373=0,0,C373/B373)</f>
        <v/>
      </c>
      <c r="E373">
        <f>IF($A373="","",SUMIFS(Orders_Log!$I:$I,Orders_Log!$C:$C,$A373))</f>
        <v/>
      </c>
      <c r="F373">
        <f>IF(B373=0,0,E373/B373)</f>
        <v/>
      </c>
      <c r="G373">
        <f>IF($A373="","",IFERROR(AVERAGEIFS(Orders_Log!$H:$H,Orders_Log!$C:$C,$A373,Orders_Log!$H:$H,"&gt;0"),0))</f>
        <v/>
      </c>
      <c r="H373">
        <f>IF($A373="","",COUNTIFS(Orders_Log!$C:$C,$A373,Orders_Log!$P:$P,"Returned to Picker"))</f>
        <v/>
      </c>
    </row>
    <row r="374">
      <c r="B374">
        <f>IF($A374="","",COUNTIFS(Orders_Log!$C:$C,$A374,Orders_Log!$B:$B,"&lt;&gt;"))</f>
        <v/>
      </c>
      <c r="C374">
        <f>IF($A374="","",COUNTIFS(Orders_Log!$C:$C,$A374,Orders_Log!$M:$M,"Yes"))</f>
        <v/>
      </c>
      <c r="D374" s="5">
        <f>IF(B374=0,0,C374/B374)</f>
        <v/>
      </c>
      <c r="E374">
        <f>IF($A374="","",SUMIFS(Orders_Log!$I:$I,Orders_Log!$C:$C,$A374))</f>
        <v/>
      </c>
      <c r="F374">
        <f>IF(B374=0,0,E374/B374)</f>
        <v/>
      </c>
      <c r="G374">
        <f>IF($A374="","",IFERROR(AVERAGEIFS(Orders_Log!$H:$H,Orders_Log!$C:$C,$A374,Orders_Log!$H:$H,"&gt;0"),0))</f>
        <v/>
      </c>
      <c r="H374">
        <f>IF($A374="","",COUNTIFS(Orders_Log!$C:$C,$A374,Orders_Log!$P:$P,"Returned to Picker"))</f>
        <v/>
      </c>
    </row>
    <row r="375">
      <c r="B375">
        <f>IF($A375="","",COUNTIFS(Orders_Log!$C:$C,$A375,Orders_Log!$B:$B,"&lt;&gt;"))</f>
        <v/>
      </c>
      <c r="C375">
        <f>IF($A375="","",COUNTIFS(Orders_Log!$C:$C,$A375,Orders_Log!$M:$M,"Yes"))</f>
        <v/>
      </c>
      <c r="D375" s="5">
        <f>IF(B375=0,0,C375/B375)</f>
        <v/>
      </c>
      <c r="E375">
        <f>IF($A375="","",SUMIFS(Orders_Log!$I:$I,Orders_Log!$C:$C,$A375))</f>
        <v/>
      </c>
      <c r="F375">
        <f>IF(B375=0,0,E375/B375)</f>
        <v/>
      </c>
      <c r="G375">
        <f>IF($A375="","",IFERROR(AVERAGEIFS(Orders_Log!$H:$H,Orders_Log!$C:$C,$A375,Orders_Log!$H:$H,"&gt;0"),0))</f>
        <v/>
      </c>
      <c r="H375">
        <f>IF($A375="","",COUNTIFS(Orders_Log!$C:$C,$A375,Orders_Log!$P:$P,"Returned to Picker"))</f>
        <v/>
      </c>
    </row>
    <row r="376">
      <c r="B376">
        <f>IF($A376="","",COUNTIFS(Orders_Log!$C:$C,$A376,Orders_Log!$B:$B,"&lt;&gt;"))</f>
        <v/>
      </c>
      <c r="C376">
        <f>IF($A376="","",COUNTIFS(Orders_Log!$C:$C,$A376,Orders_Log!$M:$M,"Yes"))</f>
        <v/>
      </c>
      <c r="D376" s="5">
        <f>IF(B376=0,0,C376/B376)</f>
        <v/>
      </c>
      <c r="E376">
        <f>IF($A376="","",SUMIFS(Orders_Log!$I:$I,Orders_Log!$C:$C,$A376))</f>
        <v/>
      </c>
      <c r="F376">
        <f>IF(B376=0,0,E376/B376)</f>
        <v/>
      </c>
      <c r="G376">
        <f>IF($A376="","",IFERROR(AVERAGEIFS(Orders_Log!$H:$H,Orders_Log!$C:$C,$A376,Orders_Log!$H:$H,"&gt;0"),0))</f>
        <v/>
      </c>
      <c r="H376">
        <f>IF($A376="","",COUNTIFS(Orders_Log!$C:$C,$A376,Orders_Log!$P:$P,"Returned to Picker"))</f>
        <v/>
      </c>
    </row>
    <row r="377">
      <c r="B377">
        <f>IF($A377="","",COUNTIFS(Orders_Log!$C:$C,$A377,Orders_Log!$B:$B,"&lt;&gt;"))</f>
        <v/>
      </c>
      <c r="C377">
        <f>IF($A377="","",COUNTIFS(Orders_Log!$C:$C,$A377,Orders_Log!$M:$M,"Yes"))</f>
        <v/>
      </c>
      <c r="D377" s="5">
        <f>IF(B377=0,0,C377/B377)</f>
        <v/>
      </c>
      <c r="E377">
        <f>IF($A377="","",SUMIFS(Orders_Log!$I:$I,Orders_Log!$C:$C,$A377))</f>
        <v/>
      </c>
      <c r="F377">
        <f>IF(B377=0,0,E377/B377)</f>
        <v/>
      </c>
      <c r="G377">
        <f>IF($A377="","",IFERROR(AVERAGEIFS(Orders_Log!$H:$H,Orders_Log!$C:$C,$A377,Orders_Log!$H:$H,"&gt;0"),0))</f>
        <v/>
      </c>
      <c r="H377">
        <f>IF($A377="","",COUNTIFS(Orders_Log!$C:$C,$A377,Orders_Log!$P:$P,"Returned to Picker"))</f>
        <v/>
      </c>
    </row>
    <row r="378">
      <c r="B378">
        <f>IF($A378="","",COUNTIFS(Orders_Log!$C:$C,$A378,Orders_Log!$B:$B,"&lt;&gt;"))</f>
        <v/>
      </c>
      <c r="C378">
        <f>IF($A378="","",COUNTIFS(Orders_Log!$C:$C,$A378,Orders_Log!$M:$M,"Yes"))</f>
        <v/>
      </c>
      <c r="D378" s="5">
        <f>IF(B378=0,0,C378/B378)</f>
        <v/>
      </c>
      <c r="E378">
        <f>IF($A378="","",SUMIFS(Orders_Log!$I:$I,Orders_Log!$C:$C,$A378))</f>
        <v/>
      </c>
      <c r="F378">
        <f>IF(B378=0,0,E378/B378)</f>
        <v/>
      </c>
      <c r="G378">
        <f>IF($A378="","",IFERROR(AVERAGEIFS(Orders_Log!$H:$H,Orders_Log!$C:$C,$A378,Orders_Log!$H:$H,"&gt;0"),0))</f>
        <v/>
      </c>
      <c r="H378">
        <f>IF($A378="","",COUNTIFS(Orders_Log!$C:$C,$A378,Orders_Log!$P:$P,"Returned to Picker"))</f>
        <v/>
      </c>
    </row>
    <row r="379">
      <c r="B379">
        <f>IF($A379="","",COUNTIFS(Orders_Log!$C:$C,$A379,Orders_Log!$B:$B,"&lt;&gt;"))</f>
        <v/>
      </c>
      <c r="C379">
        <f>IF($A379="","",COUNTIFS(Orders_Log!$C:$C,$A379,Orders_Log!$M:$M,"Yes"))</f>
        <v/>
      </c>
      <c r="D379" s="5">
        <f>IF(B379=0,0,C379/B379)</f>
        <v/>
      </c>
      <c r="E379">
        <f>IF($A379="","",SUMIFS(Orders_Log!$I:$I,Orders_Log!$C:$C,$A379))</f>
        <v/>
      </c>
      <c r="F379">
        <f>IF(B379=0,0,E379/B379)</f>
        <v/>
      </c>
      <c r="G379">
        <f>IF($A379="","",IFERROR(AVERAGEIFS(Orders_Log!$H:$H,Orders_Log!$C:$C,$A379,Orders_Log!$H:$H,"&gt;0"),0))</f>
        <v/>
      </c>
      <c r="H379">
        <f>IF($A379="","",COUNTIFS(Orders_Log!$C:$C,$A379,Orders_Log!$P:$P,"Returned to Picker"))</f>
        <v/>
      </c>
    </row>
    <row r="380">
      <c r="B380">
        <f>IF($A380="","",COUNTIFS(Orders_Log!$C:$C,$A380,Orders_Log!$B:$B,"&lt;&gt;"))</f>
        <v/>
      </c>
      <c r="C380">
        <f>IF($A380="","",COUNTIFS(Orders_Log!$C:$C,$A380,Orders_Log!$M:$M,"Yes"))</f>
        <v/>
      </c>
      <c r="D380" s="5">
        <f>IF(B380=0,0,C380/B380)</f>
        <v/>
      </c>
      <c r="E380">
        <f>IF($A380="","",SUMIFS(Orders_Log!$I:$I,Orders_Log!$C:$C,$A380))</f>
        <v/>
      </c>
      <c r="F380">
        <f>IF(B380=0,0,E380/B380)</f>
        <v/>
      </c>
      <c r="G380">
        <f>IF($A380="","",IFERROR(AVERAGEIFS(Orders_Log!$H:$H,Orders_Log!$C:$C,$A380,Orders_Log!$H:$H,"&gt;0"),0))</f>
        <v/>
      </c>
      <c r="H380">
        <f>IF($A380="","",COUNTIFS(Orders_Log!$C:$C,$A380,Orders_Log!$P:$P,"Returned to Picker"))</f>
        <v/>
      </c>
    </row>
    <row r="381">
      <c r="B381">
        <f>IF($A381="","",COUNTIFS(Orders_Log!$C:$C,$A381,Orders_Log!$B:$B,"&lt;&gt;"))</f>
        <v/>
      </c>
      <c r="C381">
        <f>IF($A381="","",COUNTIFS(Orders_Log!$C:$C,$A381,Orders_Log!$M:$M,"Yes"))</f>
        <v/>
      </c>
      <c r="D381" s="5">
        <f>IF(B381=0,0,C381/B381)</f>
        <v/>
      </c>
      <c r="E381">
        <f>IF($A381="","",SUMIFS(Orders_Log!$I:$I,Orders_Log!$C:$C,$A381))</f>
        <v/>
      </c>
      <c r="F381">
        <f>IF(B381=0,0,E381/B381)</f>
        <v/>
      </c>
      <c r="G381">
        <f>IF($A381="","",IFERROR(AVERAGEIFS(Orders_Log!$H:$H,Orders_Log!$C:$C,$A381,Orders_Log!$H:$H,"&gt;0"),0))</f>
        <v/>
      </c>
      <c r="H381">
        <f>IF($A381="","",COUNTIFS(Orders_Log!$C:$C,$A381,Orders_Log!$P:$P,"Returned to Picker"))</f>
        <v/>
      </c>
    </row>
    <row r="382">
      <c r="B382">
        <f>IF($A382="","",COUNTIFS(Orders_Log!$C:$C,$A382,Orders_Log!$B:$B,"&lt;&gt;"))</f>
        <v/>
      </c>
      <c r="C382">
        <f>IF($A382="","",COUNTIFS(Orders_Log!$C:$C,$A382,Orders_Log!$M:$M,"Yes"))</f>
        <v/>
      </c>
      <c r="D382" s="5">
        <f>IF(B382=0,0,C382/B382)</f>
        <v/>
      </c>
      <c r="E382">
        <f>IF($A382="","",SUMIFS(Orders_Log!$I:$I,Orders_Log!$C:$C,$A382))</f>
        <v/>
      </c>
      <c r="F382">
        <f>IF(B382=0,0,E382/B382)</f>
        <v/>
      </c>
      <c r="G382">
        <f>IF($A382="","",IFERROR(AVERAGEIFS(Orders_Log!$H:$H,Orders_Log!$C:$C,$A382,Orders_Log!$H:$H,"&gt;0"),0))</f>
        <v/>
      </c>
      <c r="H382">
        <f>IF($A382="","",COUNTIFS(Orders_Log!$C:$C,$A382,Orders_Log!$P:$P,"Returned to Picker"))</f>
        <v/>
      </c>
    </row>
    <row r="383">
      <c r="B383">
        <f>IF($A383="","",COUNTIFS(Orders_Log!$C:$C,$A383,Orders_Log!$B:$B,"&lt;&gt;"))</f>
        <v/>
      </c>
      <c r="C383">
        <f>IF($A383="","",COUNTIFS(Orders_Log!$C:$C,$A383,Orders_Log!$M:$M,"Yes"))</f>
        <v/>
      </c>
      <c r="D383" s="5">
        <f>IF(B383=0,0,C383/B383)</f>
        <v/>
      </c>
      <c r="E383">
        <f>IF($A383="","",SUMIFS(Orders_Log!$I:$I,Orders_Log!$C:$C,$A383))</f>
        <v/>
      </c>
      <c r="F383">
        <f>IF(B383=0,0,E383/B383)</f>
        <v/>
      </c>
      <c r="G383">
        <f>IF($A383="","",IFERROR(AVERAGEIFS(Orders_Log!$H:$H,Orders_Log!$C:$C,$A383,Orders_Log!$H:$H,"&gt;0"),0))</f>
        <v/>
      </c>
      <c r="H383">
        <f>IF($A383="","",COUNTIFS(Orders_Log!$C:$C,$A383,Orders_Log!$P:$P,"Returned to Picker"))</f>
        <v/>
      </c>
    </row>
    <row r="384">
      <c r="B384">
        <f>IF($A384="","",COUNTIFS(Orders_Log!$C:$C,$A384,Orders_Log!$B:$B,"&lt;&gt;"))</f>
        <v/>
      </c>
      <c r="C384">
        <f>IF($A384="","",COUNTIFS(Orders_Log!$C:$C,$A384,Orders_Log!$M:$M,"Yes"))</f>
        <v/>
      </c>
      <c r="D384" s="5">
        <f>IF(B384=0,0,C384/B384)</f>
        <v/>
      </c>
      <c r="E384">
        <f>IF($A384="","",SUMIFS(Orders_Log!$I:$I,Orders_Log!$C:$C,$A384))</f>
        <v/>
      </c>
      <c r="F384">
        <f>IF(B384=0,0,E384/B384)</f>
        <v/>
      </c>
      <c r="G384">
        <f>IF($A384="","",IFERROR(AVERAGEIFS(Orders_Log!$H:$H,Orders_Log!$C:$C,$A384,Orders_Log!$H:$H,"&gt;0"),0))</f>
        <v/>
      </c>
      <c r="H384">
        <f>IF($A384="","",COUNTIFS(Orders_Log!$C:$C,$A384,Orders_Log!$P:$P,"Returned to Picker"))</f>
        <v/>
      </c>
    </row>
    <row r="385">
      <c r="B385">
        <f>IF($A385="","",COUNTIFS(Orders_Log!$C:$C,$A385,Orders_Log!$B:$B,"&lt;&gt;"))</f>
        <v/>
      </c>
      <c r="C385">
        <f>IF($A385="","",COUNTIFS(Orders_Log!$C:$C,$A385,Orders_Log!$M:$M,"Yes"))</f>
        <v/>
      </c>
      <c r="D385" s="5">
        <f>IF(B385=0,0,C385/B385)</f>
        <v/>
      </c>
      <c r="E385">
        <f>IF($A385="","",SUMIFS(Orders_Log!$I:$I,Orders_Log!$C:$C,$A385))</f>
        <v/>
      </c>
      <c r="F385">
        <f>IF(B385=0,0,E385/B385)</f>
        <v/>
      </c>
      <c r="G385">
        <f>IF($A385="","",IFERROR(AVERAGEIFS(Orders_Log!$H:$H,Orders_Log!$C:$C,$A385,Orders_Log!$H:$H,"&gt;0"),0))</f>
        <v/>
      </c>
      <c r="H385">
        <f>IF($A385="","",COUNTIFS(Orders_Log!$C:$C,$A385,Orders_Log!$P:$P,"Returned to Picker"))</f>
        <v/>
      </c>
    </row>
    <row r="386">
      <c r="B386">
        <f>IF($A386="","",COUNTIFS(Orders_Log!$C:$C,$A386,Orders_Log!$B:$B,"&lt;&gt;"))</f>
        <v/>
      </c>
      <c r="C386">
        <f>IF($A386="","",COUNTIFS(Orders_Log!$C:$C,$A386,Orders_Log!$M:$M,"Yes"))</f>
        <v/>
      </c>
      <c r="D386" s="5">
        <f>IF(B386=0,0,C386/B386)</f>
        <v/>
      </c>
      <c r="E386">
        <f>IF($A386="","",SUMIFS(Orders_Log!$I:$I,Orders_Log!$C:$C,$A386))</f>
        <v/>
      </c>
      <c r="F386">
        <f>IF(B386=0,0,E386/B386)</f>
        <v/>
      </c>
      <c r="G386">
        <f>IF($A386="","",IFERROR(AVERAGEIFS(Orders_Log!$H:$H,Orders_Log!$C:$C,$A386,Orders_Log!$H:$H,"&gt;0"),0))</f>
        <v/>
      </c>
      <c r="H386">
        <f>IF($A386="","",COUNTIFS(Orders_Log!$C:$C,$A386,Orders_Log!$P:$P,"Returned to Picker"))</f>
        <v/>
      </c>
    </row>
    <row r="387">
      <c r="B387">
        <f>IF($A387="","",COUNTIFS(Orders_Log!$C:$C,$A387,Orders_Log!$B:$B,"&lt;&gt;"))</f>
        <v/>
      </c>
      <c r="C387">
        <f>IF($A387="","",COUNTIFS(Orders_Log!$C:$C,$A387,Orders_Log!$M:$M,"Yes"))</f>
        <v/>
      </c>
      <c r="D387" s="5">
        <f>IF(B387=0,0,C387/B387)</f>
        <v/>
      </c>
      <c r="E387">
        <f>IF($A387="","",SUMIFS(Orders_Log!$I:$I,Orders_Log!$C:$C,$A387))</f>
        <v/>
      </c>
      <c r="F387">
        <f>IF(B387=0,0,E387/B387)</f>
        <v/>
      </c>
      <c r="G387">
        <f>IF($A387="","",IFERROR(AVERAGEIFS(Orders_Log!$H:$H,Orders_Log!$C:$C,$A387,Orders_Log!$H:$H,"&gt;0"),0))</f>
        <v/>
      </c>
      <c r="H387">
        <f>IF($A387="","",COUNTIFS(Orders_Log!$C:$C,$A387,Orders_Log!$P:$P,"Returned to Picker"))</f>
        <v/>
      </c>
    </row>
    <row r="388">
      <c r="B388">
        <f>IF($A388="","",COUNTIFS(Orders_Log!$C:$C,$A388,Orders_Log!$B:$B,"&lt;&gt;"))</f>
        <v/>
      </c>
      <c r="C388">
        <f>IF($A388="","",COUNTIFS(Orders_Log!$C:$C,$A388,Orders_Log!$M:$M,"Yes"))</f>
        <v/>
      </c>
      <c r="D388" s="5">
        <f>IF(B388=0,0,C388/B388)</f>
        <v/>
      </c>
      <c r="E388">
        <f>IF($A388="","",SUMIFS(Orders_Log!$I:$I,Orders_Log!$C:$C,$A388))</f>
        <v/>
      </c>
      <c r="F388">
        <f>IF(B388=0,0,E388/B388)</f>
        <v/>
      </c>
      <c r="G388">
        <f>IF($A388="","",IFERROR(AVERAGEIFS(Orders_Log!$H:$H,Orders_Log!$C:$C,$A388,Orders_Log!$H:$H,"&gt;0"),0))</f>
        <v/>
      </c>
      <c r="H388">
        <f>IF($A388="","",COUNTIFS(Orders_Log!$C:$C,$A388,Orders_Log!$P:$P,"Returned to Picker"))</f>
        <v/>
      </c>
    </row>
    <row r="389">
      <c r="B389">
        <f>IF($A389="","",COUNTIFS(Orders_Log!$C:$C,$A389,Orders_Log!$B:$B,"&lt;&gt;"))</f>
        <v/>
      </c>
      <c r="C389">
        <f>IF($A389="","",COUNTIFS(Orders_Log!$C:$C,$A389,Orders_Log!$M:$M,"Yes"))</f>
        <v/>
      </c>
      <c r="D389" s="5">
        <f>IF(B389=0,0,C389/B389)</f>
        <v/>
      </c>
      <c r="E389">
        <f>IF($A389="","",SUMIFS(Orders_Log!$I:$I,Orders_Log!$C:$C,$A389))</f>
        <v/>
      </c>
      <c r="F389">
        <f>IF(B389=0,0,E389/B389)</f>
        <v/>
      </c>
      <c r="G389">
        <f>IF($A389="","",IFERROR(AVERAGEIFS(Orders_Log!$H:$H,Orders_Log!$C:$C,$A389,Orders_Log!$H:$H,"&gt;0"),0))</f>
        <v/>
      </c>
      <c r="H389">
        <f>IF($A389="","",COUNTIFS(Orders_Log!$C:$C,$A389,Orders_Log!$P:$P,"Returned to Picker"))</f>
        <v/>
      </c>
    </row>
    <row r="390">
      <c r="B390">
        <f>IF($A390="","",COUNTIFS(Orders_Log!$C:$C,$A390,Orders_Log!$B:$B,"&lt;&gt;"))</f>
        <v/>
      </c>
      <c r="C390">
        <f>IF($A390="","",COUNTIFS(Orders_Log!$C:$C,$A390,Orders_Log!$M:$M,"Yes"))</f>
        <v/>
      </c>
      <c r="D390" s="5">
        <f>IF(B390=0,0,C390/B390)</f>
        <v/>
      </c>
      <c r="E390">
        <f>IF($A390="","",SUMIFS(Orders_Log!$I:$I,Orders_Log!$C:$C,$A390))</f>
        <v/>
      </c>
      <c r="F390">
        <f>IF(B390=0,0,E390/B390)</f>
        <v/>
      </c>
      <c r="G390">
        <f>IF($A390="","",IFERROR(AVERAGEIFS(Orders_Log!$H:$H,Orders_Log!$C:$C,$A390,Orders_Log!$H:$H,"&gt;0"),0))</f>
        <v/>
      </c>
      <c r="H390">
        <f>IF($A390="","",COUNTIFS(Orders_Log!$C:$C,$A390,Orders_Log!$P:$P,"Returned to Picker"))</f>
        <v/>
      </c>
    </row>
    <row r="391">
      <c r="B391">
        <f>IF($A391="","",COUNTIFS(Orders_Log!$C:$C,$A391,Orders_Log!$B:$B,"&lt;&gt;"))</f>
        <v/>
      </c>
      <c r="C391">
        <f>IF($A391="","",COUNTIFS(Orders_Log!$C:$C,$A391,Orders_Log!$M:$M,"Yes"))</f>
        <v/>
      </c>
      <c r="D391" s="5">
        <f>IF(B391=0,0,C391/B391)</f>
        <v/>
      </c>
      <c r="E391">
        <f>IF($A391="","",SUMIFS(Orders_Log!$I:$I,Orders_Log!$C:$C,$A391))</f>
        <v/>
      </c>
      <c r="F391">
        <f>IF(B391=0,0,E391/B391)</f>
        <v/>
      </c>
      <c r="G391">
        <f>IF($A391="","",IFERROR(AVERAGEIFS(Orders_Log!$H:$H,Orders_Log!$C:$C,$A391,Orders_Log!$H:$H,"&gt;0"),0))</f>
        <v/>
      </c>
      <c r="H391">
        <f>IF($A391="","",COUNTIFS(Orders_Log!$C:$C,$A391,Orders_Log!$P:$P,"Returned to Picker"))</f>
        <v/>
      </c>
    </row>
    <row r="392">
      <c r="B392">
        <f>IF($A392="","",COUNTIFS(Orders_Log!$C:$C,$A392,Orders_Log!$B:$B,"&lt;&gt;"))</f>
        <v/>
      </c>
      <c r="C392">
        <f>IF($A392="","",COUNTIFS(Orders_Log!$C:$C,$A392,Orders_Log!$M:$M,"Yes"))</f>
        <v/>
      </c>
      <c r="D392" s="5">
        <f>IF(B392=0,0,C392/B392)</f>
        <v/>
      </c>
      <c r="E392">
        <f>IF($A392="","",SUMIFS(Orders_Log!$I:$I,Orders_Log!$C:$C,$A392))</f>
        <v/>
      </c>
      <c r="F392">
        <f>IF(B392=0,0,E392/B392)</f>
        <v/>
      </c>
      <c r="G392">
        <f>IF($A392="","",IFERROR(AVERAGEIFS(Orders_Log!$H:$H,Orders_Log!$C:$C,$A392,Orders_Log!$H:$H,"&gt;0"),0))</f>
        <v/>
      </c>
      <c r="H392">
        <f>IF($A392="","",COUNTIFS(Orders_Log!$C:$C,$A392,Orders_Log!$P:$P,"Returned to Picker"))</f>
        <v/>
      </c>
    </row>
    <row r="393">
      <c r="B393">
        <f>IF($A393="","",COUNTIFS(Orders_Log!$C:$C,$A393,Orders_Log!$B:$B,"&lt;&gt;"))</f>
        <v/>
      </c>
      <c r="C393">
        <f>IF($A393="","",COUNTIFS(Orders_Log!$C:$C,$A393,Orders_Log!$M:$M,"Yes"))</f>
        <v/>
      </c>
      <c r="D393" s="5">
        <f>IF(B393=0,0,C393/B393)</f>
        <v/>
      </c>
      <c r="E393">
        <f>IF($A393="","",SUMIFS(Orders_Log!$I:$I,Orders_Log!$C:$C,$A393))</f>
        <v/>
      </c>
      <c r="F393">
        <f>IF(B393=0,0,E393/B393)</f>
        <v/>
      </c>
      <c r="G393">
        <f>IF($A393="","",IFERROR(AVERAGEIFS(Orders_Log!$H:$H,Orders_Log!$C:$C,$A393,Orders_Log!$H:$H,"&gt;0"),0))</f>
        <v/>
      </c>
      <c r="H393">
        <f>IF($A393="","",COUNTIFS(Orders_Log!$C:$C,$A393,Orders_Log!$P:$P,"Returned to Picker"))</f>
        <v/>
      </c>
    </row>
    <row r="394">
      <c r="B394">
        <f>IF($A394="","",COUNTIFS(Orders_Log!$C:$C,$A394,Orders_Log!$B:$B,"&lt;&gt;"))</f>
        <v/>
      </c>
      <c r="C394">
        <f>IF($A394="","",COUNTIFS(Orders_Log!$C:$C,$A394,Orders_Log!$M:$M,"Yes"))</f>
        <v/>
      </c>
      <c r="D394" s="5">
        <f>IF(B394=0,0,C394/B394)</f>
        <v/>
      </c>
      <c r="E394">
        <f>IF($A394="","",SUMIFS(Orders_Log!$I:$I,Orders_Log!$C:$C,$A394))</f>
        <v/>
      </c>
      <c r="F394">
        <f>IF(B394=0,0,E394/B394)</f>
        <v/>
      </c>
      <c r="G394">
        <f>IF($A394="","",IFERROR(AVERAGEIFS(Orders_Log!$H:$H,Orders_Log!$C:$C,$A394,Orders_Log!$H:$H,"&gt;0"),0))</f>
        <v/>
      </c>
      <c r="H394">
        <f>IF($A394="","",COUNTIFS(Orders_Log!$C:$C,$A394,Orders_Log!$P:$P,"Returned to Picker"))</f>
        <v/>
      </c>
    </row>
    <row r="395">
      <c r="B395">
        <f>IF($A395="","",COUNTIFS(Orders_Log!$C:$C,$A395,Orders_Log!$B:$B,"&lt;&gt;"))</f>
        <v/>
      </c>
      <c r="C395">
        <f>IF($A395="","",COUNTIFS(Orders_Log!$C:$C,$A395,Orders_Log!$M:$M,"Yes"))</f>
        <v/>
      </c>
      <c r="D395" s="5">
        <f>IF(B395=0,0,C395/B395)</f>
        <v/>
      </c>
      <c r="E395">
        <f>IF($A395="","",SUMIFS(Orders_Log!$I:$I,Orders_Log!$C:$C,$A395))</f>
        <v/>
      </c>
      <c r="F395">
        <f>IF(B395=0,0,E395/B395)</f>
        <v/>
      </c>
      <c r="G395">
        <f>IF($A395="","",IFERROR(AVERAGEIFS(Orders_Log!$H:$H,Orders_Log!$C:$C,$A395,Orders_Log!$H:$H,"&gt;0"),0))</f>
        <v/>
      </c>
      <c r="H395">
        <f>IF($A395="","",COUNTIFS(Orders_Log!$C:$C,$A395,Orders_Log!$P:$P,"Returned to Picker"))</f>
        <v/>
      </c>
    </row>
    <row r="396">
      <c r="B396">
        <f>IF($A396="","",COUNTIFS(Orders_Log!$C:$C,$A396,Orders_Log!$B:$B,"&lt;&gt;"))</f>
        <v/>
      </c>
      <c r="C396">
        <f>IF($A396="","",COUNTIFS(Orders_Log!$C:$C,$A396,Orders_Log!$M:$M,"Yes"))</f>
        <v/>
      </c>
      <c r="D396" s="5">
        <f>IF(B396=0,0,C396/B396)</f>
        <v/>
      </c>
      <c r="E396">
        <f>IF($A396="","",SUMIFS(Orders_Log!$I:$I,Orders_Log!$C:$C,$A396))</f>
        <v/>
      </c>
      <c r="F396">
        <f>IF(B396=0,0,E396/B396)</f>
        <v/>
      </c>
      <c r="G396">
        <f>IF($A396="","",IFERROR(AVERAGEIFS(Orders_Log!$H:$H,Orders_Log!$C:$C,$A396,Orders_Log!$H:$H,"&gt;0"),0))</f>
        <v/>
      </c>
      <c r="H396">
        <f>IF($A396="","",COUNTIFS(Orders_Log!$C:$C,$A396,Orders_Log!$P:$P,"Returned to Picker"))</f>
        <v/>
      </c>
    </row>
    <row r="397">
      <c r="B397">
        <f>IF($A397="","",COUNTIFS(Orders_Log!$C:$C,$A397,Orders_Log!$B:$B,"&lt;&gt;"))</f>
        <v/>
      </c>
      <c r="C397">
        <f>IF($A397="","",COUNTIFS(Orders_Log!$C:$C,$A397,Orders_Log!$M:$M,"Yes"))</f>
        <v/>
      </c>
      <c r="D397" s="5">
        <f>IF(B397=0,0,C397/B397)</f>
        <v/>
      </c>
      <c r="E397">
        <f>IF($A397="","",SUMIFS(Orders_Log!$I:$I,Orders_Log!$C:$C,$A397))</f>
        <v/>
      </c>
      <c r="F397">
        <f>IF(B397=0,0,E397/B397)</f>
        <v/>
      </c>
      <c r="G397">
        <f>IF($A397="","",IFERROR(AVERAGEIFS(Orders_Log!$H:$H,Orders_Log!$C:$C,$A397,Orders_Log!$H:$H,"&gt;0"),0))</f>
        <v/>
      </c>
      <c r="H397">
        <f>IF($A397="","",COUNTIFS(Orders_Log!$C:$C,$A397,Orders_Log!$P:$P,"Returned to Picker"))</f>
        <v/>
      </c>
    </row>
    <row r="398">
      <c r="B398">
        <f>IF($A398="","",COUNTIFS(Orders_Log!$C:$C,$A398,Orders_Log!$B:$B,"&lt;&gt;"))</f>
        <v/>
      </c>
      <c r="C398">
        <f>IF($A398="","",COUNTIFS(Orders_Log!$C:$C,$A398,Orders_Log!$M:$M,"Yes"))</f>
        <v/>
      </c>
      <c r="D398" s="5">
        <f>IF(B398=0,0,C398/B398)</f>
        <v/>
      </c>
      <c r="E398">
        <f>IF($A398="","",SUMIFS(Orders_Log!$I:$I,Orders_Log!$C:$C,$A398))</f>
        <v/>
      </c>
      <c r="F398">
        <f>IF(B398=0,0,E398/B398)</f>
        <v/>
      </c>
      <c r="G398">
        <f>IF($A398="","",IFERROR(AVERAGEIFS(Orders_Log!$H:$H,Orders_Log!$C:$C,$A398,Orders_Log!$H:$H,"&gt;0"),0))</f>
        <v/>
      </c>
      <c r="H398">
        <f>IF($A398="","",COUNTIFS(Orders_Log!$C:$C,$A398,Orders_Log!$P:$P,"Returned to Picker"))</f>
        <v/>
      </c>
    </row>
    <row r="399">
      <c r="B399">
        <f>IF($A399="","",COUNTIFS(Orders_Log!$C:$C,$A399,Orders_Log!$B:$B,"&lt;&gt;"))</f>
        <v/>
      </c>
      <c r="C399">
        <f>IF($A399="","",COUNTIFS(Orders_Log!$C:$C,$A399,Orders_Log!$M:$M,"Yes"))</f>
        <v/>
      </c>
      <c r="D399" s="5">
        <f>IF(B399=0,0,C399/B399)</f>
        <v/>
      </c>
      <c r="E399">
        <f>IF($A399="","",SUMIFS(Orders_Log!$I:$I,Orders_Log!$C:$C,$A399))</f>
        <v/>
      </c>
      <c r="F399">
        <f>IF(B399=0,0,E399/B399)</f>
        <v/>
      </c>
      <c r="G399">
        <f>IF($A399="","",IFERROR(AVERAGEIFS(Orders_Log!$H:$H,Orders_Log!$C:$C,$A399,Orders_Log!$H:$H,"&gt;0"),0))</f>
        <v/>
      </c>
      <c r="H399">
        <f>IF($A399="","",COUNTIFS(Orders_Log!$C:$C,$A399,Orders_Log!$P:$P,"Returned to Picker"))</f>
        <v/>
      </c>
    </row>
    <row r="400">
      <c r="B400">
        <f>IF($A400="","",COUNTIFS(Orders_Log!$C:$C,$A400,Orders_Log!$B:$B,"&lt;&gt;"))</f>
        <v/>
      </c>
      <c r="C400">
        <f>IF($A400="","",COUNTIFS(Orders_Log!$C:$C,$A400,Orders_Log!$M:$M,"Yes"))</f>
        <v/>
      </c>
      <c r="D400" s="5">
        <f>IF(B400=0,0,C400/B400)</f>
        <v/>
      </c>
      <c r="E400">
        <f>IF($A400="","",SUMIFS(Orders_Log!$I:$I,Orders_Log!$C:$C,$A400))</f>
        <v/>
      </c>
      <c r="F400">
        <f>IF(B400=0,0,E400/B400)</f>
        <v/>
      </c>
      <c r="G400">
        <f>IF($A400="","",IFERROR(AVERAGEIFS(Orders_Log!$H:$H,Orders_Log!$C:$C,$A400,Orders_Log!$H:$H,"&gt;0"),0))</f>
        <v/>
      </c>
      <c r="H400">
        <f>IF($A400="","",COUNTIFS(Orders_Log!$C:$C,$A400,Orders_Log!$P:$P,"Returned to Picker"))</f>
        <v/>
      </c>
    </row>
    <row r="401">
      <c r="B401">
        <f>IF($A401="","",COUNTIFS(Orders_Log!$C:$C,$A401,Orders_Log!$B:$B,"&lt;&gt;"))</f>
        <v/>
      </c>
      <c r="C401">
        <f>IF($A401="","",COUNTIFS(Orders_Log!$C:$C,$A401,Orders_Log!$M:$M,"Yes"))</f>
        <v/>
      </c>
      <c r="D401" s="5">
        <f>IF(B401=0,0,C401/B401)</f>
        <v/>
      </c>
      <c r="E401">
        <f>IF($A401="","",SUMIFS(Orders_Log!$I:$I,Orders_Log!$C:$C,$A401))</f>
        <v/>
      </c>
      <c r="F401">
        <f>IF(B401=0,0,E401/B401)</f>
        <v/>
      </c>
      <c r="G401">
        <f>IF($A401="","",IFERROR(AVERAGEIFS(Orders_Log!$H:$H,Orders_Log!$C:$C,$A401,Orders_Log!$H:$H,"&gt;0"),0))</f>
        <v/>
      </c>
      <c r="H401">
        <f>IF($A401="","",COUNTIFS(Orders_Log!$C:$C,$A401,Orders_Log!$P:$P,"Returned to Picker"))</f>
        <v/>
      </c>
    </row>
    <row r="402">
      <c r="B402">
        <f>IF($A402="","",COUNTIFS(Orders_Log!$C:$C,$A402,Orders_Log!$B:$B,"&lt;&gt;"))</f>
        <v/>
      </c>
      <c r="C402">
        <f>IF($A402="","",COUNTIFS(Orders_Log!$C:$C,$A402,Orders_Log!$M:$M,"Yes"))</f>
        <v/>
      </c>
      <c r="D402" s="5">
        <f>IF(B402=0,0,C402/B402)</f>
        <v/>
      </c>
      <c r="E402">
        <f>IF($A402="","",SUMIFS(Orders_Log!$I:$I,Orders_Log!$C:$C,$A402))</f>
        <v/>
      </c>
      <c r="F402">
        <f>IF(B402=0,0,E402/B402)</f>
        <v/>
      </c>
      <c r="G402">
        <f>IF($A402="","",IFERROR(AVERAGEIFS(Orders_Log!$H:$H,Orders_Log!$C:$C,$A402,Orders_Log!$H:$H,"&gt;0"),0))</f>
        <v/>
      </c>
      <c r="H402">
        <f>IF($A402="","",COUNTIFS(Orders_Log!$C:$C,$A402,Orders_Log!$P:$P,"Returned to Picker"))</f>
        <v/>
      </c>
    </row>
    <row r="403">
      <c r="B403">
        <f>IF($A403="","",COUNTIFS(Orders_Log!$C:$C,$A403,Orders_Log!$B:$B,"&lt;&gt;"))</f>
        <v/>
      </c>
      <c r="C403">
        <f>IF($A403="","",COUNTIFS(Orders_Log!$C:$C,$A403,Orders_Log!$M:$M,"Yes"))</f>
        <v/>
      </c>
      <c r="D403" s="5">
        <f>IF(B403=0,0,C403/B403)</f>
        <v/>
      </c>
      <c r="E403">
        <f>IF($A403="","",SUMIFS(Orders_Log!$I:$I,Orders_Log!$C:$C,$A403))</f>
        <v/>
      </c>
      <c r="F403">
        <f>IF(B403=0,0,E403/B403)</f>
        <v/>
      </c>
      <c r="G403">
        <f>IF($A403="","",IFERROR(AVERAGEIFS(Orders_Log!$H:$H,Orders_Log!$C:$C,$A403,Orders_Log!$H:$H,"&gt;0"),0))</f>
        <v/>
      </c>
      <c r="H403">
        <f>IF($A403="","",COUNTIFS(Orders_Log!$C:$C,$A403,Orders_Log!$P:$P,"Returned to Picker"))</f>
        <v/>
      </c>
    </row>
    <row r="404">
      <c r="B404">
        <f>IF($A404="","",COUNTIFS(Orders_Log!$C:$C,$A404,Orders_Log!$B:$B,"&lt;&gt;"))</f>
        <v/>
      </c>
      <c r="C404">
        <f>IF($A404="","",COUNTIFS(Orders_Log!$C:$C,$A404,Orders_Log!$M:$M,"Yes"))</f>
        <v/>
      </c>
      <c r="D404" s="5">
        <f>IF(B404=0,0,C404/B404)</f>
        <v/>
      </c>
      <c r="E404">
        <f>IF($A404="","",SUMIFS(Orders_Log!$I:$I,Orders_Log!$C:$C,$A404))</f>
        <v/>
      </c>
      <c r="F404">
        <f>IF(B404=0,0,E404/B404)</f>
        <v/>
      </c>
      <c r="G404">
        <f>IF($A404="","",IFERROR(AVERAGEIFS(Orders_Log!$H:$H,Orders_Log!$C:$C,$A404,Orders_Log!$H:$H,"&gt;0"),0))</f>
        <v/>
      </c>
      <c r="H404">
        <f>IF($A404="","",COUNTIFS(Orders_Log!$C:$C,$A404,Orders_Log!$P:$P,"Returned to Picker"))</f>
        <v/>
      </c>
    </row>
    <row r="405">
      <c r="B405">
        <f>IF($A405="","",COUNTIFS(Orders_Log!$C:$C,$A405,Orders_Log!$B:$B,"&lt;&gt;"))</f>
        <v/>
      </c>
      <c r="C405">
        <f>IF($A405="","",COUNTIFS(Orders_Log!$C:$C,$A405,Orders_Log!$M:$M,"Yes"))</f>
        <v/>
      </c>
      <c r="D405" s="5">
        <f>IF(B405=0,0,C405/B405)</f>
        <v/>
      </c>
      <c r="E405">
        <f>IF($A405="","",SUMIFS(Orders_Log!$I:$I,Orders_Log!$C:$C,$A405))</f>
        <v/>
      </c>
      <c r="F405">
        <f>IF(B405=0,0,E405/B405)</f>
        <v/>
      </c>
      <c r="G405">
        <f>IF($A405="","",IFERROR(AVERAGEIFS(Orders_Log!$H:$H,Orders_Log!$C:$C,$A405,Orders_Log!$H:$H,"&gt;0"),0))</f>
        <v/>
      </c>
      <c r="H405">
        <f>IF($A405="","",COUNTIFS(Orders_Log!$C:$C,$A405,Orders_Log!$P:$P,"Returned to Picker"))</f>
        <v/>
      </c>
    </row>
    <row r="406">
      <c r="B406">
        <f>IF($A406="","",COUNTIFS(Orders_Log!$C:$C,$A406,Orders_Log!$B:$B,"&lt;&gt;"))</f>
        <v/>
      </c>
      <c r="C406">
        <f>IF($A406="","",COUNTIFS(Orders_Log!$C:$C,$A406,Orders_Log!$M:$M,"Yes"))</f>
        <v/>
      </c>
      <c r="D406" s="5">
        <f>IF(B406=0,0,C406/B406)</f>
        <v/>
      </c>
      <c r="E406">
        <f>IF($A406="","",SUMIFS(Orders_Log!$I:$I,Orders_Log!$C:$C,$A406))</f>
        <v/>
      </c>
      <c r="F406">
        <f>IF(B406=0,0,E406/B406)</f>
        <v/>
      </c>
      <c r="G406">
        <f>IF($A406="","",IFERROR(AVERAGEIFS(Orders_Log!$H:$H,Orders_Log!$C:$C,$A406,Orders_Log!$H:$H,"&gt;0"),0))</f>
        <v/>
      </c>
      <c r="H406">
        <f>IF($A406="","",COUNTIFS(Orders_Log!$C:$C,$A406,Orders_Log!$P:$P,"Returned to Picker"))</f>
        <v/>
      </c>
    </row>
    <row r="407">
      <c r="B407">
        <f>IF($A407="","",COUNTIFS(Orders_Log!$C:$C,$A407,Orders_Log!$B:$B,"&lt;&gt;"))</f>
        <v/>
      </c>
      <c r="C407">
        <f>IF($A407="","",COUNTIFS(Orders_Log!$C:$C,$A407,Orders_Log!$M:$M,"Yes"))</f>
        <v/>
      </c>
      <c r="D407" s="5">
        <f>IF(B407=0,0,C407/B407)</f>
        <v/>
      </c>
      <c r="E407">
        <f>IF($A407="","",SUMIFS(Orders_Log!$I:$I,Orders_Log!$C:$C,$A407))</f>
        <v/>
      </c>
      <c r="F407">
        <f>IF(B407=0,0,E407/B407)</f>
        <v/>
      </c>
      <c r="G407">
        <f>IF($A407="","",IFERROR(AVERAGEIFS(Orders_Log!$H:$H,Orders_Log!$C:$C,$A407,Orders_Log!$H:$H,"&gt;0"),0))</f>
        <v/>
      </c>
      <c r="H407">
        <f>IF($A407="","",COUNTIFS(Orders_Log!$C:$C,$A407,Orders_Log!$P:$P,"Returned to Picker"))</f>
        <v/>
      </c>
    </row>
    <row r="408">
      <c r="B408">
        <f>IF($A408="","",COUNTIFS(Orders_Log!$C:$C,$A408,Orders_Log!$B:$B,"&lt;&gt;"))</f>
        <v/>
      </c>
      <c r="C408">
        <f>IF($A408="","",COUNTIFS(Orders_Log!$C:$C,$A408,Orders_Log!$M:$M,"Yes"))</f>
        <v/>
      </c>
      <c r="D408" s="5">
        <f>IF(B408=0,0,C408/B408)</f>
        <v/>
      </c>
      <c r="E408">
        <f>IF($A408="","",SUMIFS(Orders_Log!$I:$I,Orders_Log!$C:$C,$A408))</f>
        <v/>
      </c>
      <c r="F408">
        <f>IF(B408=0,0,E408/B408)</f>
        <v/>
      </c>
      <c r="G408">
        <f>IF($A408="","",IFERROR(AVERAGEIFS(Orders_Log!$H:$H,Orders_Log!$C:$C,$A408,Orders_Log!$H:$H,"&gt;0"),0))</f>
        <v/>
      </c>
      <c r="H408">
        <f>IF($A408="","",COUNTIFS(Orders_Log!$C:$C,$A408,Orders_Log!$P:$P,"Returned to Picker"))</f>
        <v/>
      </c>
    </row>
    <row r="409">
      <c r="B409">
        <f>IF($A409="","",COUNTIFS(Orders_Log!$C:$C,$A409,Orders_Log!$B:$B,"&lt;&gt;"))</f>
        <v/>
      </c>
      <c r="C409">
        <f>IF($A409="","",COUNTIFS(Orders_Log!$C:$C,$A409,Orders_Log!$M:$M,"Yes"))</f>
        <v/>
      </c>
      <c r="D409" s="5">
        <f>IF(B409=0,0,C409/B409)</f>
        <v/>
      </c>
      <c r="E409">
        <f>IF($A409="","",SUMIFS(Orders_Log!$I:$I,Orders_Log!$C:$C,$A409))</f>
        <v/>
      </c>
      <c r="F409">
        <f>IF(B409=0,0,E409/B409)</f>
        <v/>
      </c>
      <c r="G409">
        <f>IF($A409="","",IFERROR(AVERAGEIFS(Orders_Log!$H:$H,Orders_Log!$C:$C,$A409,Orders_Log!$H:$H,"&gt;0"),0))</f>
        <v/>
      </c>
      <c r="H409">
        <f>IF($A409="","",COUNTIFS(Orders_Log!$C:$C,$A409,Orders_Log!$P:$P,"Returned to Picker"))</f>
        <v/>
      </c>
    </row>
    <row r="410">
      <c r="B410">
        <f>IF($A410="","",COUNTIFS(Orders_Log!$C:$C,$A410,Orders_Log!$B:$B,"&lt;&gt;"))</f>
        <v/>
      </c>
      <c r="C410">
        <f>IF($A410="","",COUNTIFS(Orders_Log!$C:$C,$A410,Orders_Log!$M:$M,"Yes"))</f>
        <v/>
      </c>
      <c r="D410" s="5">
        <f>IF(B410=0,0,C410/B410)</f>
        <v/>
      </c>
      <c r="E410">
        <f>IF($A410="","",SUMIFS(Orders_Log!$I:$I,Orders_Log!$C:$C,$A410))</f>
        <v/>
      </c>
      <c r="F410">
        <f>IF(B410=0,0,E410/B410)</f>
        <v/>
      </c>
      <c r="G410">
        <f>IF($A410="","",IFERROR(AVERAGEIFS(Orders_Log!$H:$H,Orders_Log!$C:$C,$A410,Orders_Log!$H:$H,"&gt;0"),0))</f>
        <v/>
      </c>
      <c r="H410">
        <f>IF($A410="","",COUNTIFS(Orders_Log!$C:$C,$A410,Orders_Log!$P:$P,"Returned to Picker"))</f>
        <v/>
      </c>
    </row>
    <row r="411">
      <c r="B411">
        <f>IF($A411="","",COUNTIFS(Orders_Log!$C:$C,$A411,Orders_Log!$B:$B,"&lt;&gt;"))</f>
        <v/>
      </c>
      <c r="C411">
        <f>IF($A411="","",COUNTIFS(Orders_Log!$C:$C,$A411,Orders_Log!$M:$M,"Yes"))</f>
        <v/>
      </c>
      <c r="D411" s="5">
        <f>IF(B411=0,0,C411/B411)</f>
        <v/>
      </c>
      <c r="E411">
        <f>IF($A411="","",SUMIFS(Orders_Log!$I:$I,Orders_Log!$C:$C,$A411))</f>
        <v/>
      </c>
      <c r="F411">
        <f>IF(B411=0,0,E411/B411)</f>
        <v/>
      </c>
      <c r="G411">
        <f>IF($A411="","",IFERROR(AVERAGEIFS(Orders_Log!$H:$H,Orders_Log!$C:$C,$A411,Orders_Log!$H:$H,"&gt;0"),0))</f>
        <v/>
      </c>
      <c r="H411">
        <f>IF($A411="","",COUNTIFS(Orders_Log!$C:$C,$A411,Orders_Log!$P:$P,"Returned to Picker"))</f>
        <v/>
      </c>
    </row>
    <row r="412">
      <c r="B412">
        <f>IF($A412="","",COUNTIFS(Orders_Log!$C:$C,$A412,Orders_Log!$B:$B,"&lt;&gt;"))</f>
        <v/>
      </c>
      <c r="C412">
        <f>IF($A412="","",COUNTIFS(Orders_Log!$C:$C,$A412,Orders_Log!$M:$M,"Yes"))</f>
        <v/>
      </c>
      <c r="D412" s="5">
        <f>IF(B412=0,0,C412/B412)</f>
        <v/>
      </c>
      <c r="E412">
        <f>IF($A412="","",SUMIFS(Orders_Log!$I:$I,Orders_Log!$C:$C,$A412))</f>
        <v/>
      </c>
      <c r="F412">
        <f>IF(B412=0,0,E412/B412)</f>
        <v/>
      </c>
      <c r="G412">
        <f>IF($A412="","",IFERROR(AVERAGEIFS(Orders_Log!$H:$H,Orders_Log!$C:$C,$A412,Orders_Log!$H:$H,"&gt;0"),0))</f>
        <v/>
      </c>
      <c r="H412">
        <f>IF($A412="","",COUNTIFS(Orders_Log!$C:$C,$A412,Orders_Log!$P:$P,"Returned to Picker"))</f>
        <v/>
      </c>
    </row>
    <row r="413">
      <c r="B413">
        <f>IF($A413="","",COUNTIFS(Orders_Log!$C:$C,$A413,Orders_Log!$B:$B,"&lt;&gt;"))</f>
        <v/>
      </c>
      <c r="C413">
        <f>IF($A413="","",COUNTIFS(Orders_Log!$C:$C,$A413,Orders_Log!$M:$M,"Yes"))</f>
        <v/>
      </c>
      <c r="D413" s="5">
        <f>IF(B413=0,0,C413/B413)</f>
        <v/>
      </c>
      <c r="E413">
        <f>IF($A413="","",SUMIFS(Orders_Log!$I:$I,Orders_Log!$C:$C,$A413))</f>
        <v/>
      </c>
      <c r="F413">
        <f>IF(B413=0,0,E413/B413)</f>
        <v/>
      </c>
      <c r="G413">
        <f>IF($A413="","",IFERROR(AVERAGEIFS(Orders_Log!$H:$H,Orders_Log!$C:$C,$A413,Orders_Log!$H:$H,"&gt;0"),0))</f>
        <v/>
      </c>
      <c r="H413">
        <f>IF($A413="","",COUNTIFS(Orders_Log!$C:$C,$A413,Orders_Log!$P:$P,"Returned to Picker"))</f>
        <v/>
      </c>
    </row>
    <row r="414">
      <c r="B414">
        <f>IF($A414="","",COUNTIFS(Orders_Log!$C:$C,$A414,Orders_Log!$B:$B,"&lt;&gt;"))</f>
        <v/>
      </c>
      <c r="C414">
        <f>IF($A414="","",COUNTIFS(Orders_Log!$C:$C,$A414,Orders_Log!$M:$M,"Yes"))</f>
        <v/>
      </c>
      <c r="D414" s="5">
        <f>IF(B414=0,0,C414/B414)</f>
        <v/>
      </c>
      <c r="E414">
        <f>IF($A414="","",SUMIFS(Orders_Log!$I:$I,Orders_Log!$C:$C,$A414))</f>
        <v/>
      </c>
      <c r="F414">
        <f>IF(B414=0,0,E414/B414)</f>
        <v/>
      </c>
      <c r="G414">
        <f>IF($A414="","",IFERROR(AVERAGEIFS(Orders_Log!$H:$H,Orders_Log!$C:$C,$A414,Orders_Log!$H:$H,"&gt;0"),0))</f>
        <v/>
      </c>
      <c r="H414">
        <f>IF($A414="","",COUNTIFS(Orders_Log!$C:$C,$A414,Orders_Log!$P:$P,"Returned to Picker"))</f>
        <v/>
      </c>
    </row>
    <row r="415">
      <c r="B415">
        <f>IF($A415="","",COUNTIFS(Orders_Log!$C:$C,$A415,Orders_Log!$B:$B,"&lt;&gt;"))</f>
        <v/>
      </c>
      <c r="C415">
        <f>IF($A415="","",COUNTIFS(Orders_Log!$C:$C,$A415,Orders_Log!$M:$M,"Yes"))</f>
        <v/>
      </c>
      <c r="D415" s="5">
        <f>IF(B415=0,0,C415/B415)</f>
        <v/>
      </c>
      <c r="E415">
        <f>IF($A415="","",SUMIFS(Orders_Log!$I:$I,Orders_Log!$C:$C,$A415))</f>
        <v/>
      </c>
      <c r="F415">
        <f>IF(B415=0,0,E415/B415)</f>
        <v/>
      </c>
      <c r="G415">
        <f>IF($A415="","",IFERROR(AVERAGEIFS(Orders_Log!$H:$H,Orders_Log!$C:$C,$A415,Orders_Log!$H:$H,"&gt;0"),0))</f>
        <v/>
      </c>
      <c r="H415">
        <f>IF($A415="","",COUNTIFS(Orders_Log!$C:$C,$A415,Orders_Log!$P:$P,"Returned to Picker"))</f>
        <v/>
      </c>
    </row>
    <row r="416">
      <c r="B416">
        <f>IF($A416="","",COUNTIFS(Orders_Log!$C:$C,$A416,Orders_Log!$B:$B,"&lt;&gt;"))</f>
        <v/>
      </c>
      <c r="C416">
        <f>IF($A416="","",COUNTIFS(Orders_Log!$C:$C,$A416,Orders_Log!$M:$M,"Yes"))</f>
        <v/>
      </c>
      <c r="D416" s="5">
        <f>IF(B416=0,0,C416/B416)</f>
        <v/>
      </c>
      <c r="E416">
        <f>IF($A416="","",SUMIFS(Orders_Log!$I:$I,Orders_Log!$C:$C,$A416))</f>
        <v/>
      </c>
      <c r="F416">
        <f>IF(B416=0,0,E416/B416)</f>
        <v/>
      </c>
      <c r="G416">
        <f>IF($A416="","",IFERROR(AVERAGEIFS(Orders_Log!$H:$H,Orders_Log!$C:$C,$A416,Orders_Log!$H:$H,"&gt;0"),0))</f>
        <v/>
      </c>
      <c r="H416">
        <f>IF($A416="","",COUNTIFS(Orders_Log!$C:$C,$A416,Orders_Log!$P:$P,"Returned to Picker"))</f>
        <v/>
      </c>
    </row>
    <row r="417">
      <c r="B417">
        <f>IF($A417="","",COUNTIFS(Orders_Log!$C:$C,$A417,Orders_Log!$B:$B,"&lt;&gt;"))</f>
        <v/>
      </c>
      <c r="C417">
        <f>IF($A417="","",COUNTIFS(Orders_Log!$C:$C,$A417,Orders_Log!$M:$M,"Yes"))</f>
        <v/>
      </c>
      <c r="D417" s="5">
        <f>IF(B417=0,0,C417/B417)</f>
        <v/>
      </c>
      <c r="E417">
        <f>IF($A417="","",SUMIFS(Orders_Log!$I:$I,Orders_Log!$C:$C,$A417))</f>
        <v/>
      </c>
      <c r="F417">
        <f>IF(B417=0,0,E417/B417)</f>
        <v/>
      </c>
      <c r="G417">
        <f>IF($A417="","",IFERROR(AVERAGEIFS(Orders_Log!$H:$H,Orders_Log!$C:$C,$A417,Orders_Log!$H:$H,"&gt;0"),0))</f>
        <v/>
      </c>
      <c r="H417">
        <f>IF($A417="","",COUNTIFS(Orders_Log!$C:$C,$A417,Orders_Log!$P:$P,"Returned to Picker"))</f>
        <v/>
      </c>
    </row>
    <row r="418">
      <c r="B418">
        <f>IF($A418="","",COUNTIFS(Orders_Log!$C:$C,$A418,Orders_Log!$B:$B,"&lt;&gt;"))</f>
        <v/>
      </c>
      <c r="C418">
        <f>IF($A418="","",COUNTIFS(Orders_Log!$C:$C,$A418,Orders_Log!$M:$M,"Yes"))</f>
        <v/>
      </c>
      <c r="D418" s="5">
        <f>IF(B418=0,0,C418/B418)</f>
        <v/>
      </c>
      <c r="E418">
        <f>IF($A418="","",SUMIFS(Orders_Log!$I:$I,Orders_Log!$C:$C,$A418))</f>
        <v/>
      </c>
      <c r="F418">
        <f>IF(B418=0,0,E418/B418)</f>
        <v/>
      </c>
      <c r="G418">
        <f>IF($A418="","",IFERROR(AVERAGEIFS(Orders_Log!$H:$H,Orders_Log!$C:$C,$A418,Orders_Log!$H:$H,"&gt;0"),0))</f>
        <v/>
      </c>
      <c r="H418">
        <f>IF($A418="","",COUNTIFS(Orders_Log!$C:$C,$A418,Orders_Log!$P:$P,"Returned to Picker"))</f>
        <v/>
      </c>
    </row>
    <row r="419">
      <c r="B419">
        <f>IF($A419="","",COUNTIFS(Orders_Log!$C:$C,$A419,Orders_Log!$B:$B,"&lt;&gt;"))</f>
        <v/>
      </c>
      <c r="C419">
        <f>IF($A419="","",COUNTIFS(Orders_Log!$C:$C,$A419,Orders_Log!$M:$M,"Yes"))</f>
        <v/>
      </c>
      <c r="D419" s="5">
        <f>IF(B419=0,0,C419/B419)</f>
        <v/>
      </c>
      <c r="E419">
        <f>IF($A419="","",SUMIFS(Orders_Log!$I:$I,Orders_Log!$C:$C,$A419))</f>
        <v/>
      </c>
      <c r="F419">
        <f>IF(B419=0,0,E419/B419)</f>
        <v/>
      </c>
      <c r="G419">
        <f>IF($A419="","",IFERROR(AVERAGEIFS(Orders_Log!$H:$H,Orders_Log!$C:$C,$A419,Orders_Log!$H:$H,"&gt;0"),0))</f>
        <v/>
      </c>
      <c r="H419">
        <f>IF($A419="","",COUNTIFS(Orders_Log!$C:$C,$A419,Orders_Log!$P:$P,"Returned to Picker"))</f>
        <v/>
      </c>
    </row>
    <row r="420">
      <c r="B420">
        <f>IF($A420="","",COUNTIFS(Orders_Log!$C:$C,$A420,Orders_Log!$B:$B,"&lt;&gt;"))</f>
        <v/>
      </c>
      <c r="C420">
        <f>IF($A420="","",COUNTIFS(Orders_Log!$C:$C,$A420,Orders_Log!$M:$M,"Yes"))</f>
        <v/>
      </c>
      <c r="D420" s="5">
        <f>IF(B420=0,0,C420/B420)</f>
        <v/>
      </c>
      <c r="E420">
        <f>IF($A420="","",SUMIFS(Orders_Log!$I:$I,Orders_Log!$C:$C,$A420))</f>
        <v/>
      </c>
      <c r="F420">
        <f>IF(B420=0,0,E420/B420)</f>
        <v/>
      </c>
      <c r="G420">
        <f>IF($A420="","",IFERROR(AVERAGEIFS(Orders_Log!$H:$H,Orders_Log!$C:$C,$A420,Orders_Log!$H:$H,"&gt;0"),0))</f>
        <v/>
      </c>
      <c r="H420">
        <f>IF($A420="","",COUNTIFS(Orders_Log!$C:$C,$A420,Orders_Log!$P:$P,"Returned to Picker"))</f>
        <v/>
      </c>
    </row>
    <row r="421">
      <c r="B421">
        <f>IF($A421="","",COUNTIFS(Orders_Log!$C:$C,$A421,Orders_Log!$B:$B,"&lt;&gt;"))</f>
        <v/>
      </c>
      <c r="C421">
        <f>IF($A421="","",COUNTIFS(Orders_Log!$C:$C,$A421,Orders_Log!$M:$M,"Yes"))</f>
        <v/>
      </c>
      <c r="D421" s="5">
        <f>IF(B421=0,0,C421/B421)</f>
        <v/>
      </c>
      <c r="E421">
        <f>IF($A421="","",SUMIFS(Orders_Log!$I:$I,Orders_Log!$C:$C,$A421))</f>
        <v/>
      </c>
      <c r="F421">
        <f>IF(B421=0,0,E421/B421)</f>
        <v/>
      </c>
      <c r="G421">
        <f>IF($A421="","",IFERROR(AVERAGEIFS(Orders_Log!$H:$H,Orders_Log!$C:$C,$A421,Orders_Log!$H:$H,"&gt;0"),0))</f>
        <v/>
      </c>
      <c r="H421">
        <f>IF($A421="","",COUNTIFS(Orders_Log!$C:$C,$A421,Orders_Log!$P:$P,"Returned to Picker"))</f>
        <v/>
      </c>
    </row>
    <row r="422">
      <c r="B422">
        <f>IF($A422="","",COUNTIFS(Orders_Log!$C:$C,$A422,Orders_Log!$B:$B,"&lt;&gt;"))</f>
        <v/>
      </c>
      <c r="C422">
        <f>IF($A422="","",COUNTIFS(Orders_Log!$C:$C,$A422,Orders_Log!$M:$M,"Yes"))</f>
        <v/>
      </c>
      <c r="D422" s="5">
        <f>IF(B422=0,0,C422/B422)</f>
        <v/>
      </c>
      <c r="E422">
        <f>IF($A422="","",SUMIFS(Orders_Log!$I:$I,Orders_Log!$C:$C,$A422))</f>
        <v/>
      </c>
      <c r="F422">
        <f>IF(B422=0,0,E422/B422)</f>
        <v/>
      </c>
      <c r="G422">
        <f>IF($A422="","",IFERROR(AVERAGEIFS(Orders_Log!$H:$H,Orders_Log!$C:$C,$A422,Orders_Log!$H:$H,"&gt;0"),0))</f>
        <v/>
      </c>
      <c r="H422">
        <f>IF($A422="","",COUNTIFS(Orders_Log!$C:$C,$A422,Orders_Log!$P:$P,"Returned to Picker"))</f>
        <v/>
      </c>
    </row>
    <row r="423">
      <c r="B423">
        <f>IF($A423="","",COUNTIFS(Orders_Log!$C:$C,$A423,Orders_Log!$B:$B,"&lt;&gt;"))</f>
        <v/>
      </c>
      <c r="C423">
        <f>IF($A423="","",COUNTIFS(Orders_Log!$C:$C,$A423,Orders_Log!$M:$M,"Yes"))</f>
        <v/>
      </c>
      <c r="D423" s="5">
        <f>IF(B423=0,0,C423/B423)</f>
        <v/>
      </c>
      <c r="E423">
        <f>IF($A423="","",SUMIFS(Orders_Log!$I:$I,Orders_Log!$C:$C,$A423))</f>
        <v/>
      </c>
      <c r="F423">
        <f>IF(B423=0,0,E423/B423)</f>
        <v/>
      </c>
      <c r="G423">
        <f>IF($A423="","",IFERROR(AVERAGEIFS(Orders_Log!$H:$H,Orders_Log!$C:$C,$A423,Orders_Log!$H:$H,"&gt;0"),0))</f>
        <v/>
      </c>
      <c r="H423">
        <f>IF($A423="","",COUNTIFS(Orders_Log!$C:$C,$A423,Orders_Log!$P:$P,"Returned to Picker"))</f>
        <v/>
      </c>
    </row>
    <row r="424">
      <c r="B424">
        <f>IF($A424="","",COUNTIFS(Orders_Log!$C:$C,$A424,Orders_Log!$B:$B,"&lt;&gt;"))</f>
        <v/>
      </c>
      <c r="C424">
        <f>IF($A424="","",COUNTIFS(Orders_Log!$C:$C,$A424,Orders_Log!$M:$M,"Yes"))</f>
        <v/>
      </c>
      <c r="D424" s="5">
        <f>IF(B424=0,0,C424/B424)</f>
        <v/>
      </c>
      <c r="E424">
        <f>IF($A424="","",SUMIFS(Orders_Log!$I:$I,Orders_Log!$C:$C,$A424))</f>
        <v/>
      </c>
      <c r="F424">
        <f>IF(B424=0,0,E424/B424)</f>
        <v/>
      </c>
      <c r="G424">
        <f>IF($A424="","",IFERROR(AVERAGEIFS(Orders_Log!$H:$H,Orders_Log!$C:$C,$A424,Orders_Log!$H:$H,"&gt;0"),0))</f>
        <v/>
      </c>
      <c r="H424">
        <f>IF($A424="","",COUNTIFS(Orders_Log!$C:$C,$A424,Orders_Log!$P:$P,"Returned to Picker"))</f>
        <v/>
      </c>
    </row>
    <row r="425">
      <c r="B425">
        <f>IF($A425="","",COUNTIFS(Orders_Log!$C:$C,$A425,Orders_Log!$B:$B,"&lt;&gt;"))</f>
        <v/>
      </c>
      <c r="C425">
        <f>IF($A425="","",COUNTIFS(Orders_Log!$C:$C,$A425,Orders_Log!$M:$M,"Yes"))</f>
        <v/>
      </c>
      <c r="D425" s="5">
        <f>IF(B425=0,0,C425/B425)</f>
        <v/>
      </c>
      <c r="E425">
        <f>IF($A425="","",SUMIFS(Orders_Log!$I:$I,Orders_Log!$C:$C,$A425))</f>
        <v/>
      </c>
      <c r="F425">
        <f>IF(B425=0,0,E425/B425)</f>
        <v/>
      </c>
      <c r="G425">
        <f>IF($A425="","",IFERROR(AVERAGEIFS(Orders_Log!$H:$H,Orders_Log!$C:$C,$A425,Orders_Log!$H:$H,"&gt;0"),0))</f>
        <v/>
      </c>
      <c r="H425">
        <f>IF($A425="","",COUNTIFS(Orders_Log!$C:$C,$A425,Orders_Log!$P:$P,"Returned to Picker"))</f>
        <v/>
      </c>
    </row>
    <row r="426">
      <c r="B426">
        <f>IF($A426="","",COUNTIFS(Orders_Log!$C:$C,$A426,Orders_Log!$B:$B,"&lt;&gt;"))</f>
        <v/>
      </c>
      <c r="C426">
        <f>IF($A426="","",COUNTIFS(Orders_Log!$C:$C,$A426,Orders_Log!$M:$M,"Yes"))</f>
        <v/>
      </c>
      <c r="D426" s="5">
        <f>IF(B426=0,0,C426/B426)</f>
        <v/>
      </c>
      <c r="E426">
        <f>IF($A426="","",SUMIFS(Orders_Log!$I:$I,Orders_Log!$C:$C,$A426))</f>
        <v/>
      </c>
      <c r="F426">
        <f>IF(B426=0,0,E426/B426)</f>
        <v/>
      </c>
      <c r="G426">
        <f>IF($A426="","",IFERROR(AVERAGEIFS(Orders_Log!$H:$H,Orders_Log!$C:$C,$A426,Orders_Log!$H:$H,"&gt;0"),0))</f>
        <v/>
      </c>
      <c r="H426">
        <f>IF($A426="","",COUNTIFS(Orders_Log!$C:$C,$A426,Orders_Log!$P:$P,"Returned to Picker"))</f>
        <v/>
      </c>
    </row>
    <row r="427">
      <c r="B427">
        <f>IF($A427="","",COUNTIFS(Orders_Log!$C:$C,$A427,Orders_Log!$B:$B,"&lt;&gt;"))</f>
        <v/>
      </c>
      <c r="C427">
        <f>IF($A427="","",COUNTIFS(Orders_Log!$C:$C,$A427,Orders_Log!$M:$M,"Yes"))</f>
        <v/>
      </c>
      <c r="D427" s="5">
        <f>IF(B427=0,0,C427/B427)</f>
        <v/>
      </c>
      <c r="E427">
        <f>IF($A427="","",SUMIFS(Orders_Log!$I:$I,Orders_Log!$C:$C,$A427))</f>
        <v/>
      </c>
      <c r="F427">
        <f>IF(B427=0,0,E427/B427)</f>
        <v/>
      </c>
      <c r="G427">
        <f>IF($A427="","",IFERROR(AVERAGEIFS(Orders_Log!$H:$H,Orders_Log!$C:$C,$A427,Orders_Log!$H:$H,"&gt;0"),0))</f>
        <v/>
      </c>
      <c r="H427">
        <f>IF($A427="","",COUNTIFS(Orders_Log!$C:$C,$A427,Orders_Log!$P:$P,"Returned to Picker"))</f>
        <v/>
      </c>
    </row>
    <row r="428">
      <c r="B428">
        <f>IF($A428="","",COUNTIFS(Orders_Log!$C:$C,$A428,Orders_Log!$B:$B,"&lt;&gt;"))</f>
        <v/>
      </c>
      <c r="C428">
        <f>IF($A428="","",COUNTIFS(Orders_Log!$C:$C,$A428,Orders_Log!$M:$M,"Yes"))</f>
        <v/>
      </c>
      <c r="D428" s="5">
        <f>IF(B428=0,0,C428/B428)</f>
        <v/>
      </c>
      <c r="E428">
        <f>IF($A428="","",SUMIFS(Orders_Log!$I:$I,Orders_Log!$C:$C,$A428))</f>
        <v/>
      </c>
      <c r="F428">
        <f>IF(B428=0,0,E428/B428)</f>
        <v/>
      </c>
      <c r="G428">
        <f>IF($A428="","",IFERROR(AVERAGEIFS(Orders_Log!$H:$H,Orders_Log!$C:$C,$A428,Orders_Log!$H:$H,"&gt;0"),0))</f>
        <v/>
      </c>
      <c r="H428">
        <f>IF($A428="","",COUNTIFS(Orders_Log!$C:$C,$A428,Orders_Log!$P:$P,"Returned to Picker"))</f>
        <v/>
      </c>
    </row>
    <row r="429">
      <c r="B429">
        <f>IF($A429="","",COUNTIFS(Orders_Log!$C:$C,$A429,Orders_Log!$B:$B,"&lt;&gt;"))</f>
        <v/>
      </c>
      <c r="C429">
        <f>IF($A429="","",COUNTIFS(Orders_Log!$C:$C,$A429,Orders_Log!$M:$M,"Yes"))</f>
        <v/>
      </c>
      <c r="D429" s="5">
        <f>IF(B429=0,0,C429/B429)</f>
        <v/>
      </c>
      <c r="E429">
        <f>IF($A429="","",SUMIFS(Orders_Log!$I:$I,Orders_Log!$C:$C,$A429))</f>
        <v/>
      </c>
      <c r="F429">
        <f>IF(B429=0,0,E429/B429)</f>
        <v/>
      </c>
      <c r="G429">
        <f>IF($A429="","",IFERROR(AVERAGEIFS(Orders_Log!$H:$H,Orders_Log!$C:$C,$A429,Orders_Log!$H:$H,"&gt;0"),0))</f>
        <v/>
      </c>
      <c r="H429">
        <f>IF($A429="","",COUNTIFS(Orders_Log!$C:$C,$A429,Orders_Log!$P:$P,"Returned to Picker"))</f>
        <v/>
      </c>
    </row>
    <row r="430">
      <c r="B430">
        <f>IF($A430="","",COUNTIFS(Orders_Log!$C:$C,$A430,Orders_Log!$B:$B,"&lt;&gt;"))</f>
        <v/>
      </c>
      <c r="C430">
        <f>IF($A430="","",COUNTIFS(Orders_Log!$C:$C,$A430,Orders_Log!$M:$M,"Yes"))</f>
        <v/>
      </c>
      <c r="D430" s="5">
        <f>IF(B430=0,0,C430/B430)</f>
        <v/>
      </c>
      <c r="E430">
        <f>IF($A430="","",SUMIFS(Orders_Log!$I:$I,Orders_Log!$C:$C,$A430))</f>
        <v/>
      </c>
      <c r="F430">
        <f>IF(B430=0,0,E430/B430)</f>
        <v/>
      </c>
      <c r="G430">
        <f>IF($A430="","",IFERROR(AVERAGEIFS(Orders_Log!$H:$H,Orders_Log!$C:$C,$A430,Orders_Log!$H:$H,"&gt;0"),0))</f>
        <v/>
      </c>
      <c r="H430">
        <f>IF($A430="","",COUNTIFS(Orders_Log!$C:$C,$A430,Orders_Log!$P:$P,"Returned to Picker"))</f>
        <v/>
      </c>
    </row>
    <row r="431">
      <c r="B431">
        <f>IF($A431="","",COUNTIFS(Orders_Log!$C:$C,$A431,Orders_Log!$B:$B,"&lt;&gt;"))</f>
        <v/>
      </c>
      <c r="C431">
        <f>IF($A431="","",COUNTIFS(Orders_Log!$C:$C,$A431,Orders_Log!$M:$M,"Yes"))</f>
        <v/>
      </c>
      <c r="D431" s="5">
        <f>IF(B431=0,0,C431/B431)</f>
        <v/>
      </c>
      <c r="E431">
        <f>IF($A431="","",SUMIFS(Orders_Log!$I:$I,Orders_Log!$C:$C,$A431))</f>
        <v/>
      </c>
      <c r="F431">
        <f>IF(B431=0,0,E431/B431)</f>
        <v/>
      </c>
      <c r="G431">
        <f>IF($A431="","",IFERROR(AVERAGEIFS(Orders_Log!$H:$H,Orders_Log!$C:$C,$A431,Orders_Log!$H:$H,"&gt;0"),0))</f>
        <v/>
      </c>
      <c r="H431">
        <f>IF($A431="","",COUNTIFS(Orders_Log!$C:$C,$A431,Orders_Log!$P:$P,"Returned to Picker"))</f>
        <v/>
      </c>
    </row>
    <row r="432">
      <c r="B432">
        <f>IF($A432="","",COUNTIFS(Orders_Log!$C:$C,$A432,Orders_Log!$B:$B,"&lt;&gt;"))</f>
        <v/>
      </c>
      <c r="C432">
        <f>IF($A432="","",COUNTIFS(Orders_Log!$C:$C,$A432,Orders_Log!$M:$M,"Yes"))</f>
        <v/>
      </c>
      <c r="D432" s="5">
        <f>IF(B432=0,0,C432/B432)</f>
        <v/>
      </c>
      <c r="E432">
        <f>IF($A432="","",SUMIFS(Orders_Log!$I:$I,Orders_Log!$C:$C,$A432))</f>
        <v/>
      </c>
      <c r="F432">
        <f>IF(B432=0,0,E432/B432)</f>
        <v/>
      </c>
      <c r="G432">
        <f>IF($A432="","",IFERROR(AVERAGEIFS(Orders_Log!$H:$H,Orders_Log!$C:$C,$A432,Orders_Log!$H:$H,"&gt;0"),0))</f>
        <v/>
      </c>
      <c r="H432">
        <f>IF($A432="","",COUNTIFS(Orders_Log!$C:$C,$A432,Orders_Log!$P:$P,"Returned to Picker"))</f>
        <v/>
      </c>
    </row>
    <row r="433">
      <c r="B433">
        <f>IF($A433="","",COUNTIFS(Orders_Log!$C:$C,$A433,Orders_Log!$B:$B,"&lt;&gt;"))</f>
        <v/>
      </c>
      <c r="C433">
        <f>IF($A433="","",COUNTIFS(Orders_Log!$C:$C,$A433,Orders_Log!$M:$M,"Yes"))</f>
        <v/>
      </c>
      <c r="D433" s="5">
        <f>IF(B433=0,0,C433/B433)</f>
        <v/>
      </c>
      <c r="E433">
        <f>IF($A433="","",SUMIFS(Orders_Log!$I:$I,Orders_Log!$C:$C,$A433))</f>
        <v/>
      </c>
      <c r="F433">
        <f>IF(B433=0,0,E433/B433)</f>
        <v/>
      </c>
      <c r="G433">
        <f>IF($A433="","",IFERROR(AVERAGEIFS(Orders_Log!$H:$H,Orders_Log!$C:$C,$A433,Orders_Log!$H:$H,"&gt;0"),0))</f>
        <v/>
      </c>
      <c r="H433">
        <f>IF($A433="","",COUNTIFS(Orders_Log!$C:$C,$A433,Orders_Log!$P:$P,"Returned to Picker"))</f>
        <v/>
      </c>
    </row>
    <row r="434">
      <c r="B434">
        <f>IF($A434="","",COUNTIFS(Orders_Log!$C:$C,$A434,Orders_Log!$B:$B,"&lt;&gt;"))</f>
        <v/>
      </c>
      <c r="C434">
        <f>IF($A434="","",COUNTIFS(Orders_Log!$C:$C,$A434,Orders_Log!$M:$M,"Yes"))</f>
        <v/>
      </c>
      <c r="D434" s="5">
        <f>IF(B434=0,0,C434/B434)</f>
        <v/>
      </c>
      <c r="E434">
        <f>IF($A434="","",SUMIFS(Orders_Log!$I:$I,Orders_Log!$C:$C,$A434))</f>
        <v/>
      </c>
      <c r="F434">
        <f>IF(B434=0,0,E434/B434)</f>
        <v/>
      </c>
      <c r="G434">
        <f>IF($A434="","",IFERROR(AVERAGEIFS(Orders_Log!$H:$H,Orders_Log!$C:$C,$A434,Orders_Log!$H:$H,"&gt;0"),0))</f>
        <v/>
      </c>
      <c r="H434">
        <f>IF($A434="","",COUNTIFS(Orders_Log!$C:$C,$A434,Orders_Log!$P:$P,"Returned to Picker"))</f>
        <v/>
      </c>
    </row>
    <row r="435">
      <c r="B435">
        <f>IF($A435="","",COUNTIFS(Orders_Log!$C:$C,$A435,Orders_Log!$B:$B,"&lt;&gt;"))</f>
        <v/>
      </c>
      <c r="C435">
        <f>IF($A435="","",COUNTIFS(Orders_Log!$C:$C,$A435,Orders_Log!$M:$M,"Yes"))</f>
        <v/>
      </c>
      <c r="D435" s="5">
        <f>IF(B435=0,0,C435/B435)</f>
        <v/>
      </c>
      <c r="E435">
        <f>IF($A435="","",SUMIFS(Orders_Log!$I:$I,Orders_Log!$C:$C,$A435))</f>
        <v/>
      </c>
      <c r="F435">
        <f>IF(B435=0,0,E435/B435)</f>
        <v/>
      </c>
      <c r="G435">
        <f>IF($A435="","",IFERROR(AVERAGEIFS(Orders_Log!$H:$H,Orders_Log!$C:$C,$A435,Orders_Log!$H:$H,"&gt;0"),0))</f>
        <v/>
      </c>
      <c r="H435">
        <f>IF($A435="","",COUNTIFS(Orders_Log!$C:$C,$A435,Orders_Log!$P:$P,"Returned to Picker"))</f>
        <v/>
      </c>
    </row>
    <row r="436">
      <c r="B436">
        <f>IF($A436="","",COUNTIFS(Orders_Log!$C:$C,$A436,Orders_Log!$B:$B,"&lt;&gt;"))</f>
        <v/>
      </c>
      <c r="C436">
        <f>IF($A436="","",COUNTIFS(Orders_Log!$C:$C,$A436,Orders_Log!$M:$M,"Yes"))</f>
        <v/>
      </c>
      <c r="D436" s="5">
        <f>IF(B436=0,0,C436/B436)</f>
        <v/>
      </c>
      <c r="E436">
        <f>IF($A436="","",SUMIFS(Orders_Log!$I:$I,Orders_Log!$C:$C,$A436))</f>
        <v/>
      </c>
      <c r="F436">
        <f>IF(B436=0,0,E436/B436)</f>
        <v/>
      </c>
      <c r="G436">
        <f>IF($A436="","",IFERROR(AVERAGEIFS(Orders_Log!$H:$H,Orders_Log!$C:$C,$A436,Orders_Log!$H:$H,"&gt;0"),0))</f>
        <v/>
      </c>
      <c r="H436">
        <f>IF($A436="","",COUNTIFS(Orders_Log!$C:$C,$A436,Orders_Log!$P:$P,"Returned to Picker"))</f>
        <v/>
      </c>
    </row>
    <row r="437">
      <c r="B437">
        <f>IF($A437="","",COUNTIFS(Orders_Log!$C:$C,$A437,Orders_Log!$B:$B,"&lt;&gt;"))</f>
        <v/>
      </c>
      <c r="C437">
        <f>IF($A437="","",COUNTIFS(Orders_Log!$C:$C,$A437,Orders_Log!$M:$M,"Yes"))</f>
        <v/>
      </c>
      <c r="D437" s="5">
        <f>IF(B437=0,0,C437/B437)</f>
        <v/>
      </c>
      <c r="E437">
        <f>IF($A437="","",SUMIFS(Orders_Log!$I:$I,Orders_Log!$C:$C,$A437))</f>
        <v/>
      </c>
      <c r="F437">
        <f>IF(B437=0,0,E437/B437)</f>
        <v/>
      </c>
      <c r="G437">
        <f>IF($A437="","",IFERROR(AVERAGEIFS(Orders_Log!$H:$H,Orders_Log!$C:$C,$A437,Orders_Log!$H:$H,"&gt;0"),0))</f>
        <v/>
      </c>
      <c r="H437">
        <f>IF($A437="","",COUNTIFS(Orders_Log!$C:$C,$A437,Orders_Log!$P:$P,"Returned to Picker"))</f>
        <v/>
      </c>
    </row>
    <row r="438">
      <c r="B438">
        <f>IF($A438="","",COUNTIFS(Orders_Log!$C:$C,$A438,Orders_Log!$B:$B,"&lt;&gt;"))</f>
        <v/>
      </c>
      <c r="C438">
        <f>IF($A438="","",COUNTIFS(Orders_Log!$C:$C,$A438,Orders_Log!$M:$M,"Yes"))</f>
        <v/>
      </c>
      <c r="D438" s="5">
        <f>IF(B438=0,0,C438/B438)</f>
        <v/>
      </c>
      <c r="E438">
        <f>IF($A438="","",SUMIFS(Orders_Log!$I:$I,Orders_Log!$C:$C,$A438))</f>
        <v/>
      </c>
      <c r="F438">
        <f>IF(B438=0,0,E438/B438)</f>
        <v/>
      </c>
      <c r="G438">
        <f>IF($A438="","",IFERROR(AVERAGEIFS(Orders_Log!$H:$H,Orders_Log!$C:$C,$A438,Orders_Log!$H:$H,"&gt;0"),0))</f>
        <v/>
      </c>
      <c r="H438">
        <f>IF($A438="","",COUNTIFS(Orders_Log!$C:$C,$A438,Orders_Log!$P:$P,"Returned to Picker"))</f>
        <v/>
      </c>
    </row>
    <row r="439">
      <c r="B439">
        <f>IF($A439="","",COUNTIFS(Orders_Log!$C:$C,$A439,Orders_Log!$B:$B,"&lt;&gt;"))</f>
        <v/>
      </c>
      <c r="C439">
        <f>IF($A439="","",COUNTIFS(Orders_Log!$C:$C,$A439,Orders_Log!$M:$M,"Yes"))</f>
        <v/>
      </c>
      <c r="D439" s="5">
        <f>IF(B439=0,0,C439/B439)</f>
        <v/>
      </c>
      <c r="E439">
        <f>IF($A439="","",SUMIFS(Orders_Log!$I:$I,Orders_Log!$C:$C,$A439))</f>
        <v/>
      </c>
      <c r="F439">
        <f>IF(B439=0,0,E439/B439)</f>
        <v/>
      </c>
      <c r="G439">
        <f>IF($A439="","",IFERROR(AVERAGEIFS(Orders_Log!$H:$H,Orders_Log!$C:$C,$A439,Orders_Log!$H:$H,"&gt;0"),0))</f>
        <v/>
      </c>
      <c r="H439">
        <f>IF($A439="","",COUNTIFS(Orders_Log!$C:$C,$A439,Orders_Log!$P:$P,"Returned to Picker"))</f>
        <v/>
      </c>
    </row>
    <row r="440">
      <c r="B440">
        <f>IF($A440="","",COUNTIFS(Orders_Log!$C:$C,$A440,Orders_Log!$B:$B,"&lt;&gt;"))</f>
        <v/>
      </c>
      <c r="C440">
        <f>IF($A440="","",COUNTIFS(Orders_Log!$C:$C,$A440,Orders_Log!$M:$M,"Yes"))</f>
        <v/>
      </c>
      <c r="D440" s="5">
        <f>IF(B440=0,0,C440/B440)</f>
        <v/>
      </c>
      <c r="E440">
        <f>IF($A440="","",SUMIFS(Orders_Log!$I:$I,Orders_Log!$C:$C,$A440))</f>
        <v/>
      </c>
      <c r="F440">
        <f>IF(B440=0,0,E440/B440)</f>
        <v/>
      </c>
      <c r="G440">
        <f>IF($A440="","",IFERROR(AVERAGEIFS(Orders_Log!$H:$H,Orders_Log!$C:$C,$A440,Orders_Log!$H:$H,"&gt;0"),0))</f>
        <v/>
      </c>
      <c r="H440">
        <f>IF($A440="","",COUNTIFS(Orders_Log!$C:$C,$A440,Orders_Log!$P:$P,"Returned to Picker"))</f>
        <v/>
      </c>
    </row>
    <row r="441">
      <c r="B441">
        <f>IF($A441="","",COUNTIFS(Orders_Log!$C:$C,$A441,Orders_Log!$B:$B,"&lt;&gt;"))</f>
        <v/>
      </c>
      <c r="C441">
        <f>IF($A441="","",COUNTIFS(Orders_Log!$C:$C,$A441,Orders_Log!$M:$M,"Yes"))</f>
        <v/>
      </c>
      <c r="D441" s="5">
        <f>IF(B441=0,0,C441/B441)</f>
        <v/>
      </c>
      <c r="E441">
        <f>IF($A441="","",SUMIFS(Orders_Log!$I:$I,Orders_Log!$C:$C,$A441))</f>
        <v/>
      </c>
      <c r="F441">
        <f>IF(B441=0,0,E441/B441)</f>
        <v/>
      </c>
      <c r="G441">
        <f>IF($A441="","",IFERROR(AVERAGEIFS(Orders_Log!$H:$H,Orders_Log!$C:$C,$A441,Orders_Log!$H:$H,"&gt;0"),0))</f>
        <v/>
      </c>
      <c r="H441">
        <f>IF($A441="","",COUNTIFS(Orders_Log!$C:$C,$A441,Orders_Log!$P:$P,"Returned to Picker"))</f>
        <v/>
      </c>
    </row>
    <row r="442">
      <c r="B442">
        <f>IF($A442="","",COUNTIFS(Orders_Log!$C:$C,$A442,Orders_Log!$B:$B,"&lt;&gt;"))</f>
        <v/>
      </c>
      <c r="C442">
        <f>IF($A442="","",COUNTIFS(Orders_Log!$C:$C,$A442,Orders_Log!$M:$M,"Yes"))</f>
        <v/>
      </c>
      <c r="D442" s="5">
        <f>IF(B442=0,0,C442/B442)</f>
        <v/>
      </c>
      <c r="E442">
        <f>IF($A442="","",SUMIFS(Orders_Log!$I:$I,Orders_Log!$C:$C,$A442))</f>
        <v/>
      </c>
      <c r="F442">
        <f>IF(B442=0,0,E442/B442)</f>
        <v/>
      </c>
      <c r="G442">
        <f>IF($A442="","",IFERROR(AVERAGEIFS(Orders_Log!$H:$H,Orders_Log!$C:$C,$A442,Orders_Log!$H:$H,"&gt;0"),0))</f>
        <v/>
      </c>
      <c r="H442">
        <f>IF($A442="","",COUNTIFS(Orders_Log!$C:$C,$A442,Orders_Log!$P:$P,"Returned to Picker"))</f>
        <v/>
      </c>
    </row>
    <row r="443">
      <c r="B443">
        <f>IF($A443="","",COUNTIFS(Orders_Log!$C:$C,$A443,Orders_Log!$B:$B,"&lt;&gt;"))</f>
        <v/>
      </c>
      <c r="C443">
        <f>IF($A443="","",COUNTIFS(Orders_Log!$C:$C,$A443,Orders_Log!$M:$M,"Yes"))</f>
        <v/>
      </c>
      <c r="D443" s="5">
        <f>IF(B443=0,0,C443/B443)</f>
        <v/>
      </c>
      <c r="E443">
        <f>IF($A443="","",SUMIFS(Orders_Log!$I:$I,Orders_Log!$C:$C,$A443))</f>
        <v/>
      </c>
      <c r="F443">
        <f>IF(B443=0,0,E443/B443)</f>
        <v/>
      </c>
      <c r="G443">
        <f>IF($A443="","",IFERROR(AVERAGEIFS(Orders_Log!$H:$H,Orders_Log!$C:$C,$A443,Orders_Log!$H:$H,"&gt;0"),0))</f>
        <v/>
      </c>
      <c r="H443">
        <f>IF($A443="","",COUNTIFS(Orders_Log!$C:$C,$A443,Orders_Log!$P:$P,"Returned to Picker"))</f>
        <v/>
      </c>
    </row>
    <row r="444">
      <c r="B444">
        <f>IF($A444="","",COUNTIFS(Orders_Log!$C:$C,$A444,Orders_Log!$B:$B,"&lt;&gt;"))</f>
        <v/>
      </c>
      <c r="C444">
        <f>IF($A444="","",COUNTIFS(Orders_Log!$C:$C,$A444,Orders_Log!$M:$M,"Yes"))</f>
        <v/>
      </c>
      <c r="D444" s="5">
        <f>IF(B444=0,0,C444/B444)</f>
        <v/>
      </c>
      <c r="E444">
        <f>IF($A444="","",SUMIFS(Orders_Log!$I:$I,Orders_Log!$C:$C,$A444))</f>
        <v/>
      </c>
      <c r="F444">
        <f>IF(B444=0,0,E444/B444)</f>
        <v/>
      </c>
      <c r="G444">
        <f>IF($A444="","",IFERROR(AVERAGEIFS(Orders_Log!$H:$H,Orders_Log!$C:$C,$A444,Orders_Log!$H:$H,"&gt;0"),0))</f>
        <v/>
      </c>
      <c r="H444">
        <f>IF($A444="","",COUNTIFS(Orders_Log!$C:$C,$A444,Orders_Log!$P:$P,"Returned to Picker"))</f>
        <v/>
      </c>
    </row>
    <row r="445">
      <c r="B445">
        <f>IF($A445="","",COUNTIFS(Orders_Log!$C:$C,$A445,Orders_Log!$B:$B,"&lt;&gt;"))</f>
        <v/>
      </c>
      <c r="C445">
        <f>IF($A445="","",COUNTIFS(Orders_Log!$C:$C,$A445,Orders_Log!$M:$M,"Yes"))</f>
        <v/>
      </c>
      <c r="D445" s="5">
        <f>IF(B445=0,0,C445/B445)</f>
        <v/>
      </c>
      <c r="E445">
        <f>IF($A445="","",SUMIFS(Orders_Log!$I:$I,Orders_Log!$C:$C,$A445))</f>
        <v/>
      </c>
      <c r="F445">
        <f>IF(B445=0,0,E445/B445)</f>
        <v/>
      </c>
      <c r="G445">
        <f>IF($A445="","",IFERROR(AVERAGEIFS(Orders_Log!$H:$H,Orders_Log!$C:$C,$A445,Orders_Log!$H:$H,"&gt;0"),0))</f>
        <v/>
      </c>
      <c r="H445">
        <f>IF($A445="","",COUNTIFS(Orders_Log!$C:$C,$A445,Orders_Log!$P:$P,"Returned to Picker"))</f>
        <v/>
      </c>
    </row>
    <row r="446">
      <c r="B446">
        <f>IF($A446="","",COUNTIFS(Orders_Log!$C:$C,$A446,Orders_Log!$B:$B,"&lt;&gt;"))</f>
        <v/>
      </c>
      <c r="C446">
        <f>IF($A446="","",COUNTIFS(Orders_Log!$C:$C,$A446,Orders_Log!$M:$M,"Yes"))</f>
        <v/>
      </c>
      <c r="D446" s="5">
        <f>IF(B446=0,0,C446/B446)</f>
        <v/>
      </c>
      <c r="E446">
        <f>IF($A446="","",SUMIFS(Orders_Log!$I:$I,Orders_Log!$C:$C,$A446))</f>
        <v/>
      </c>
      <c r="F446">
        <f>IF(B446=0,0,E446/B446)</f>
        <v/>
      </c>
      <c r="G446">
        <f>IF($A446="","",IFERROR(AVERAGEIFS(Orders_Log!$H:$H,Orders_Log!$C:$C,$A446,Orders_Log!$H:$H,"&gt;0"),0))</f>
        <v/>
      </c>
      <c r="H446">
        <f>IF($A446="","",COUNTIFS(Orders_Log!$C:$C,$A446,Orders_Log!$P:$P,"Returned to Picker"))</f>
        <v/>
      </c>
    </row>
    <row r="447">
      <c r="B447">
        <f>IF($A447="","",COUNTIFS(Orders_Log!$C:$C,$A447,Orders_Log!$B:$B,"&lt;&gt;"))</f>
        <v/>
      </c>
      <c r="C447">
        <f>IF($A447="","",COUNTIFS(Orders_Log!$C:$C,$A447,Orders_Log!$M:$M,"Yes"))</f>
        <v/>
      </c>
      <c r="D447" s="5">
        <f>IF(B447=0,0,C447/B447)</f>
        <v/>
      </c>
      <c r="E447">
        <f>IF($A447="","",SUMIFS(Orders_Log!$I:$I,Orders_Log!$C:$C,$A447))</f>
        <v/>
      </c>
      <c r="F447">
        <f>IF(B447=0,0,E447/B447)</f>
        <v/>
      </c>
      <c r="G447">
        <f>IF($A447="","",IFERROR(AVERAGEIFS(Orders_Log!$H:$H,Orders_Log!$C:$C,$A447,Orders_Log!$H:$H,"&gt;0"),0))</f>
        <v/>
      </c>
      <c r="H447">
        <f>IF($A447="","",COUNTIFS(Orders_Log!$C:$C,$A447,Orders_Log!$P:$P,"Returned to Picker"))</f>
        <v/>
      </c>
    </row>
    <row r="448">
      <c r="B448">
        <f>IF($A448="","",COUNTIFS(Orders_Log!$C:$C,$A448,Orders_Log!$B:$B,"&lt;&gt;"))</f>
        <v/>
      </c>
      <c r="C448">
        <f>IF($A448="","",COUNTIFS(Orders_Log!$C:$C,$A448,Orders_Log!$M:$M,"Yes"))</f>
        <v/>
      </c>
      <c r="D448" s="5">
        <f>IF(B448=0,0,C448/B448)</f>
        <v/>
      </c>
      <c r="E448">
        <f>IF($A448="","",SUMIFS(Orders_Log!$I:$I,Orders_Log!$C:$C,$A448))</f>
        <v/>
      </c>
      <c r="F448">
        <f>IF(B448=0,0,E448/B448)</f>
        <v/>
      </c>
      <c r="G448">
        <f>IF($A448="","",IFERROR(AVERAGEIFS(Orders_Log!$H:$H,Orders_Log!$C:$C,$A448,Orders_Log!$H:$H,"&gt;0"),0))</f>
        <v/>
      </c>
      <c r="H448">
        <f>IF($A448="","",COUNTIFS(Orders_Log!$C:$C,$A448,Orders_Log!$P:$P,"Returned to Picker"))</f>
        <v/>
      </c>
    </row>
    <row r="449">
      <c r="B449">
        <f>IF($A449="","",COUNTIFS(Orders_Log!$C:$C,$A449,Orders_Log!$B:$B,"&lt;&gt;"))</f>
        <v/>
      </c>
      <c r="C449">
        <f>IF($A449="","",COUNTIFS(Orders_Log!$C:$C,$A449,Orders_Log!$M:$M,"Yes"))</f>
        <v/>
      </c>
      <c r="D449" s="5">
        <f>IF(B449=0,0,C449/B449)</f>
        <v/>
      </c>
      <c r="E449">
        <f>IF($A449="","",SUMIFS(Orders_Log!$I:$I,Orders_Log!$C:$C,$A449))</f>
        <v/>
      </c>
      <c r="F449">
        <f>IF(B449=0,0,E449/B449)</f>
        <v/>
      </c>
      <c r="G449">
        <f>IF($A449="","",IFERROR(AVERAGEIFS(Orders_Log!$H:$H,Orders_Log!$C:$C,$A449,Orders_Log!$H:$H,"&gt;0"),0))</f>
        <v/>
      </c>
      <c r="H449">
        <f>IF($A449="","",COUNTIFS(Orders_Log!$C:$C,$A449,Orders_Log!$P:$P,"Returned to Picker"))</f>
        <v/>
      </c>
    </row>
    <row r="450">
      <c r="B450">
        <f>IF($A450="","",COUNTIFS(Orders_Log!$C:$C,$A450,Orders_Log!$B:$B,"&lt;&gt;"))</f>
        <v/>
      </c>
      <c r="C450">
        <f>IF($A450="","",COUNTIFS(Orders_Log!$C:$C,$A450,Orders_Log!$M:$M,"Yes"))</f>
        <v/>
      </c>
      <c r="D450" s="5">
        <f>IF(B450=0,0,C450/B450)</f>
        <v/>
      </c>
      <c r="E450">
        <f>IF($A450="","",SUMIFS(Orders_Log!$I:$I,Orders_Log!$C:$C,$A450))</f>
        <v/>
      </c>
      <c r="F450">
        <f>IF(B450=0,0,E450/B450)</f>
        <v/>
      </c>
      <c r="G450">
        <f>IF($A450="","",IFERROR(AVERAGEIFS(Orders_Log!$H:$H,Orders_Log!$C:$C,$A450,Orders_Log!$H:$H,"&gt;0"),0))</f>
        <v/>
      </c>
      <c r="H450">
        <f>IF($A450="","",COUNTIFS(Orders_Log!$C:$C,$A450,Orders_Log!$P:$P,"Returned to Picker"))</f>
        <v/>
      </c>
    </row>
    <row r="451">
      <c r="B451">
        <f>IF($A451="","",COUNTIFS(Orders_Log!$C:$C,$A451,Orders_Log!$B:$B,"&lt;&gt;"))</f>
        <v/>
      </c>
      <c r="C451">
        <f>IF($A451="","",COUNTIFS(Orders_Log!$C:$C,$A451,Orders_Log!$M:$M,"Yes"))</f>
        <v/>
      </c>
      <c r="D451" s="5">
        <f>IF(B451=0,0,C451/B451)</f>
        <v/>
      </c>
      <c r="E451">
        <f>IF($A451="","",SUMIFS(Orders_Log!$I:$I,Orders_Log!$C:$C,$A451))</f>
        <v/>
      </c>
      <c r="F451">
        <f>IF(B451=0,0,E451/B451)</f>
        <v/>
      </c>
      <c r="G451">
        <f>IF($A451="","",IFERROR(AVERAGEIFS(Orders_Log!$H:$H,Orders_Log!$C:$C,$A451,Orders_Log!$H:$H,"&gt;0"),0))</f>
        <v/>
      </c>
      <c r="H451">
        <f>IF($A451="","",COUNTIFS(Orders_Log!$C:$C,$A451,Orders_Log!$P:$P,"Returned to Picker"))</f>
        <v/>
      </c>
    </row>
    <row r="452">
      <c r="B452">
        <f>IF($A452="","",COUNTIFS(Orders_Log!$C:$C,$A452,Orders_Log!$B:$B,"&lt;&gt;"))</f>
        <v/>
      </c>
      <c r="C452">
        <f>IF($A452="","",COUNTIFS(Orders_Log!$C:$C,$A452,Orders_Log!$M:$M,"Yes"))</f>
        <v/>
      </c>
      <c r="D452" s="5">
        <f>IF(B452=0,0,C452/B452)</f>
        <v/>
      </c>
      <c r="E452">
        <f>IF($A452="","",SUMIFS(Orders_Log!$I:$I,Orders_Log!$C:$C,$A452))</f>
        <v/>
      </c>
      <c r="F452">
        <f>IF(B452=0,0,E452/B452)</f>
        <v/>
      </c>
      <c r="G452">
        <f>IF($A452="","",IFERROR(AVERAGEIFS(Orders_Log!$H:$H,Orders_Log!$C:$C,$A452,Orders_Log!$H:$H,"&gt;0"),0))</f>
        <v/>
      </c>
      <c r="H452">
        <f>IF($A452="","",COUNTIFS(Orders_Log!$C:$C,$A452,Orders_Log!$P:$P,"Returned to Picker"))</f>
        <v/>
      </c>
    </row>
    <row r="453">
      <c r="B453">
        <f>IF($A453="","",COUNTIFS(Orders_Log!$C:$C,$A453,Orders_Log!$B:$B,"&lt;&gt;"))</f>
        <v/>
      </c>
      <c r="C453">
        <f>IF($A453="","",COUNTIFS(Orders_Log!$C:$C,$A453,Orders_Log!$M:$M,"Yes"))</f>
        <v/>
      </c>
      <c r="D453" s="5">
        <f>IF(B453=0,0,C453/B453)</f>
        <v/>
      </c>
      <c r="E453">
        <f>IF($A453="","",SUMIFS(Orders_Log!$I:$I,Orders_Log!$C:$C,$A453))</f>
        <v/>
      </c>
      <c r="F453">
        <f>IF(B453=0,0,E453/B453)</f>
        <v/>
      </c>
      <c r="G453">
        <f>IF($A453="","",IFERROR(AVERAGEIFS(Orders_Log!$H:$H,Orders_Log!$C:$C,$A453,Orders_Log!$H:$H,"&gt;0"),0))</f>
        <v/>
      </c>
      <c r="H453">
        <f>IF($A453="","",COUNTIFS(Orders_Log!$C:$C,$A453,Orders_Log!$P:$P,"Returned to Picker"))</f>
        <v/>
      </c>
    </row>
    <row r="454">
      <c r="B454">
        <f>IF($A454="","",COUNTIFS(Orders_Log!$C:$C,$A454,Orders_Log!$B:$B,"&lt;&gt;"))</f>
        <v/>
      </c>
      <c r="C454">
        <f>IF($A454="","",COUNTIFS(Orders_Log!$C:$C,$A454,Orders_Log!$M:$M,"Yes"))</f>
        <v/>
      </c>
      <c r="D454" s="5">
        <f>IF(B454=0,0,C454/B454)</f>
        <v/>
      </c>
      <c r="E454">
        <f>IF($A454="","",SUMIFS(Orders_Log!$I:$I,Orders_Log!$C:$C,$A454))</f>
        <v/>
      </c>
      <c r="F454">
        <f>IF(B454=0,0,E454/B454)</f>
        <v/>
      </c>
      <c r="G454">
        <f>IF($A454="","",IFERROR(AVERAGEIFS(Orders_Log!$H:$H,Orders_Log!$C:$C,$A454,Orders_Log!$H:$H,"&gt;0"),0))</f>
        <v/>
      </c>
      <c r="H454">
        <f>IF($A454="","",COUNTIFS(Orders_Log!$C:$C,$A454,Orders_Log!$P:$P,"Returned to Picker"))</f>
        <v/>
      </c>
    </row>
    <row r="455">
      <c r="B455">
        <f>IF($A455="","",COUNTIFS(Orders_Log!$C:$C,$A455,Orders_Log!$B:$B,"&lt;&gt;"))</f>
        <v/>
      </c>
      <c r="C455">
        <f>IF($A455="","",COUNTIFS(Orders_Log!$C:$C,$A455,Orders_Log!$M:$M,"Yes"))</f>
        <v/>
      </c>
      <c r="D455" s="5">
        <f>IF(B455=0,0,C455/B455)</f>
        <v/>
      </c>
      <c r="E455">
        <f>IF($A455="","",SUMIFS(Orders_Log!$I:$I,Orders_Log!$C:$C,$A455))</f>
        <v/>
      </c>
      <c r="F455">
        <f>IF(B455=0,0,E455/B455)</f>
        <v/>
      </c>
      <c r="G455">
        <f>IF($A455="","",IFERROR(AVERAGEIFS(Orders_Log!$H:$H,Orders_Log!$C:$C,$A455,Orders_Log!$H:$H,"&gt;0"),0))</f>
        <v/>
      </c>
      <c r="H455">
        <f>IF($A455="","",COUNTIFS(Orders_Log!$C:$C,$A455,Orders_Log!$P:$P,"Returned to Picker"))</f>
        <v/>
      </c>
    </row>
    <row r="456">
      <c r="B456">
        <f>IF($A456="","",COUNTIFS(Orders_Log!$C:$C,$A456,Orders_Log!$B:$B,"&lt;&gt;"))</f>
        <v/>
      </c>
      <c r="C456">
        <f>IF($A456="","",COUNTIFS(Orders_Log!$C:$C,$A456,Orders_Log!$M:$M,"Yes"))</f>
        <v/>
      </c>
      <c r="D456" s="5">
        <f>IF(B456=0,0,C456/B456)</f>
        <v/>
      </c>
      <c r="E456">
        <f>IF($A456="","",SUMIFS(Orders_Log!$I:$I,Orders_Log!$C:$C,$A456))</f>
        <v/>
      </c>
      <c r="F456">
        <f>IF(B456=0,0,E456/B456)</f>
        <v/>
      </c>
      <c r="G456">
        <f>IF($A456="","",IFERROR(AVERAGEIFS(Orders_Log!$H:$H,Orders_Log!$C:$C,$A456,Orders_Log!$H:$H,"&gt;0"),0))</f>
        <v/>
      </c>
      <c r="H456">
        <f>IF($A456="","",COUNTIFS(Orders_Log!$C:$C,$A456,Orders_Log!$P:$P,"Returned to Picker"))</f>
        <v/>
      </c>
    </row>
    <row r="457">
      <c r="B457">
        <f>IF($A457="","",COUNTIFS(Orders_Log!$C:$C,$A457,Orders_Log!$B:$B,"&lt;&gt;"))</f>
        <v/>
      </c>
      <c r="C457">
        <f>IF($A457="","",COUNTIFS(Orders_Log!$C:$C,$A457,Orders_Log!$M:$M,"Yes"))</f>
        <v/>
      </c>
      <c r="D457" s="5">
        <f>IF(B457=0,0,C457/B457)</f>
        <v/>
      </c>
      <c r="E457">
        <f>IF($A457="","",SUMIFS(Orders_Log!$I:$I,Orders_Log!$C:$C,$A457))</f>
        <v/>
      </c>
      <c r="F457">
        <f>IF(B457=0,0,E457/B457)</f>
        <v/>
      </c>
      <c r="G457">
        <f>IF($A457="","",IFERROR(AVERAGEIFS(Orders_Log!$H:$H,Orders_Log!$C:$C,$A457,Orders_Log!$H:$H,"&gt;0"),0))</f>
        <v/>
      </c>
      <c r="H457">
        <f>IF($A457="","",COUNTIFS(Orders_Log!$C:$C,$A457,Orders_Log!$P:$P,"Returned to Picker"))</f>
        <v/>
      </c>
    </row>
    <row r="458">
      <c r="B458">
        <f>IF($A458="","",COUNTIFS(Orders_Log!$C:$C,$A458,Orders_Log!$B:$B,"&lt;&gt;"))</f>
        <v/>
      </c>
      <c r="C458">
        <f>IF($A458="","",COUNTIFS(Orders_Log!$C:$C,$A458,Orders_Log!$M:$M,"Yes"))</f>
        <v/>
      </c>
      <c r="D458" s="5">
        <f>IF(B458=0,0,C458/B458)</f>
        <v/>
      </c>
      <c r="E458">
        <f>IF($A458="","",SUMIFS(Orders_Log!$I:$I,Orders_Log!$C:$C,$A458))</f>
        <v/>
      </c>
      <c r="F458">
        <f>IF(B458=0,0,E458/B458)</f>
        <v/>
      </c>
      <c r="G458">
        <f>IF($A458="","",IFERROR(AVERAGEIFS(Orders_Log!$H:$H,Orders_Log!$C:$C,$A458,Orders_Log!$H:$H,"&gt;0"),0))</f>
        <v/>
      </c>
      <c r="H458">
        <f>IF($A458="","",COUNTIFS(Orders_Log!$C:$C,$A458,Orders_Log!$P:$P,"Returned to Picker"))</f>
        <v/>
      </c>
    </row>
    <row r="459">
      <c r="B459">
        <f>IF($A459="","",COUNTIFS(Orders_Log!$C:$C,$A459,Orders_Log!$B:$B,"&lt;&gt;"))</f>
        <v/>
      </c>
      <c r="C459">
        <f>IF($A459="","",COUNTIFS(Orders_Log!$C:$C,$A459,Orders_Log!$M:$M,"Yes"))</f>
        <v/>
      </c>
      <c r="D459" s="5">
        <f>IF(B459=0,0,C459/B459)</f>
        <v/>
      </c>
      <c r="E459">
        <f>IF($A459="","",SUMIFS(Orders_Log!$I:$I,Orders_Log!$C:$C,$A459))</f>
        <v/>
      </c>
      <c r="F459">
        <f>IF(B459=0,0,E459/B459)</f>
        <v/>
      </c>
      <c r="G459">
        <f>IF($A459="","",IFERROR(AVERAGEIFS(Orders_Log!$H:$H,Orders_Log!$C:$C,$A459,Orders_Log!$H:$H,"&gt;0"),0))</f>
        <v/>
      </c>
      <c r="H459">
        <f>IF($A459="","",COUNTIFS(Orders_Log!$C:$C,$A459,Orders_Log!$P:$P,"Returned to Picker"))</f>
        <v/>
      </c>
    </row>
    <row r="460">
      <c r="B460">
        <f>IF($A460="","",COUNTIFS(Orders_Log!$C:$C,$A460,Orders_Log!$B:$B,"&lt;&gt;"))</f>
        <v/>
      </c>
      <c r="C460">
        <f>IF($A460="","",COUNTIFS(Orders_Log!$C:$C,$A460,Orders_Log!$M:$M,"Yes"))</f>
        <v/>
      </c>
      <c r="D460" s="5">
        <f>IF(B460=0,0,C460/B460)</f>
        <v/>
      </c>
      <c r="E460">
        <f>IF($A460="","",SUMIFS(Orders_Log!$I:$I,Orders_Log!$C:$C,$A460))</f>
        <v/>
      </c>
      <c r="F460">
        <f>IF(B460=0,0,E460/B460)</f>
        <v/>
      </c>
      <c r="G460">
        <f>IF($A460="","",IFERROR(AVERAGEIFS(Orders_Log!$H:$H,Orders_Log!$C:$C,$A460,Orders_Log!$H:$H,"&gt;0"),0))</f>
        <v/>
      </c>
      <c r="H460">
        <f>IF($A460="","",COUNTIFS(Orders_Log!$C:$C,$A460,Orders_Log!$P:$P,"Returned to Picker"))</f>
        <v/>
      </c>
    </row>
    <row r="461">
      <c r="B461">
        <f>IF($A461="","",COUNTIFS(Orders_Log!$C:$C,$A461,Orders_Log!$B:$B,"&lt;&gt;"))</f>
        <v/>
      </c>
      <c r="C461">
        <f>IF($A461="","",COUNTIFS(Orders_Log!$C:$C,$A461,Orders_Log!$M:$M,"Yes"))</f>
        <v/>
      </c>
      <c r="D461" s="5">
        <f>IF(B461=0,0,C461/B461)</f>
        <v/>
      </c>
      <c r="E461">
        <f>IF($A461="","",SUMIFS(Orders_Log!$I:$I,Orders_Log!$C:$C,$A461))</f>
        <v/>
      </c>
      <c r="F461">
        <f>IF(B461=0,0,E461/B461)</f>
        <v/>
      </c>
      <c r="G461">
        <f>IF($A461="","",IFERROR(AVERAGEIFS(Orders_Log!$H:$H,Orders_Log!$C:$C,$A461,Orders_Log!$H:$H,"&gt;0"),0))</f>
        <v/>
      </c>
      <c r="H461">
        <f>IF($A461="","",COUNTIFS(Orders_Log!$C:$C,$A461,Orders_Log!$P:$P,"Returned to Picker"))</f>
        <v/>
      </c>
    </row>
    <row r="462">
      <c r="B462">
        <f>IF($A462="","",COUNTIFS(Orders_Log!$C:$C,$A462,Orders_Log!$B:$B,"&lt;&gt;"))</f>
        <v/>
      </c>
      <c r="C462">
        <f>IF($A462="","",COUNTIFS(Orders_Log!$C:$C,$A462,Orders_Log!$M:$M,"Yes"))</f>
        <v/>
      </c>
      <c r="D462" s="5">
        <f>IF(B462=0,0,C462/B462)</f>
        <v/>
      </c>
      <c r="E462">
        <f>IF($A462="","",SUMIFS(Orders_Log!$I:$I,Orders_Log!$C:$C,$A462))</f>
        <v/>
      </c>
      <c r="F462">
        <f>IF(B462=0,0,E462/B462)</f>
        <v/>
      </c>
      <c r="G462">
        <f>IF($A462="","",IFERROR(AVERAGEIFS(Orders_Log!$H:$H,Orders_Log!$C:$C,$A462,Orders_Log!$H:$H,"&gt;0"),0))</f>
        <v/>
      </c>
      <c r="H462">
        <f>IF($A462="","",COUNTIFS(Orders_Log!$C:$C,$A462,Orders_Log!$P:$P,"Returned to Picker"))</f>
        <v/>
      </c>
    </row>
    <row r="463">
      <c r="B463">
        <f>IF($A463="","",COUNTIFS(Orders_Log!$C:$C,$A463,Orders_Log!$B:$B,"&lt;&gt;"))</f>
        <v/>
      </c>
      <c r="C463">
        <f>IF($A463="","",COUNTIFS(Orders_Log!$C:$C,$A463,Orders_Log!$M:$M,"Yes"))</f>
        <v/>
      </c>
      <c r="D463" s="5">
        <f>IF(B463=0,0,C463/B463)</f>
        <v/>
      </c>
      <c r="E463">
        <f>IF($A463="","",SUMIFS(Orders_Log!$I:$I,Orders_Log!$C:$C,$A463))</f>
        <v/>
      </c>
      <c r="F463">
        <f>IF(B463=0,0,E463/B463)</f>
        <v/>
      </c>
      <c r="G463">
        <f>IF($A463="","",IFERROR(AVERAGEIFS(Orders_Log!$H:$H,Orders_Log!$C:$C,$A463,Orders_Log!$H:$H,"&gt;0"),0))</f>
        <v/>
      </c>
      <c r="H463">
        <f>IF($A463="","",COUNTIFS(Orders_Log!$C:$C,$A463,Orders_Log!$P:$P,"Returned to Picker"))</f>
        <v/>
      </c>
    </row>
    <row r="464">
      <c r="B464">
        <f>IF($A464="","",COUNTIFS(Orders_Log!$C:$C,$A464,Orders_Log!$B:$B,"&lt;&gt;"))</f>
        <v/>
      </c>
      <c r="C464">
        <f>IF($A464="","",COUNTIFS(Orders_Log!$C:$C,$A464,Orders_Log!$M:$M,"Yes"))</f>
        <v/>
      </c>
      <c r="D464" s="5">
        <f>IF(B464=0,0,C464/B464)</f>
        <v/>
      </c>
      <c r="E464">
        <f>IF($A464="","",SUMIFS(Orders_Log!$I:$I,Orders_Log!$C:$C,$A464))</f>
        <v/>
      </c>
      <c r="F464">
        <f>IF(B464=0,0,E464/B464)</f>
        <v/>
      </c>
      <c r="G464">
        <f>IF($A464="","",IFERROR(AVERAGEIFS(Orders_Log!$H:$H,Orders_Log!$C:$C,$A464,Orders_Log!$H:$H,"&gt;0"),0))</f>
        <v/>
      </c>
      <c r="H464">
        <f>IF($A464="","",COUNTIFS(Orders_Log!$C:$C,$A464,Orders_Log!$P:$P,"Returned to Picker"))</f>
        <v/>
      </c>
    </row>
    <row r="465">
      <c r="B465">
        <f>IF($A465="","",COUNTIFS(Orders_Log!$C:$C,$A465,Orders_Log!$B:$B,"&lt;&gt;"))</f>
        <v/>
      </c>
      <c r="C465">
        <f>IF($A465="","",COUNTIFS(Orders_Log!$C:$C,$A465,Orders_Log!$M:$M,"Yes"))</f>
        <v/>
      </c>
      <c r="D465" s="5">
        <f>IF(B465=0,0,C465/B465)</f>
        <v/>
      </c>
      <c r="E465">
        <f>IF($A465="","",SUMIFS(Orders_Log!$I:$I,Orders_Log!$C:$C,$A465))</f>
        <v/>
      </c>
      <c r="F465">
        <f>IF(B465=0,0,E465/B465)</f>
        <v/>
      </c>
      <c r="G465">
        <f>IF($A465="","",IFERROR(AVERAGEIFS(Orders_Log!$H:$H,Orders_Log!$C:$C,$A465,Orders_Log!$H:$H,"&gt;0"),0))</f>
        <v/>
      </c>
      <c r="H465">
        <f>IF($A465="","",COUNTIFS(Orders_Log!$C:$C,$A465,Orders_Log!$P:$P,"Returned to Picker"))</f>
        <v/>
      </c>
    </row>
    <row r="466">
      <c r="B466">
        <f>IF($A466="","",COUNTIFS(Orders_Log!$C:$C,$A466,Orders_Log!$B:$B,"&lt;&gt;"))</f>
        <v/>
      </c>
      <c r="C466">
        <f>IF($A466="","",COUNTIFS(Orders_Log!$C:$C,$A466,Orders_Log!$M:$M,"Yes"))</f>
        <v/>
      </c>
      <c r="D466" s="5">
        <f>IF(B466=0,0,C466/B466)</f>
        <v/>
      </c>
      <c r="E466">
        <f>IF($A466="","",SUMIFS(Orders_Log!$I:$I,Orders_Log!$C:$C,$A466))</f>
        <v/>
      </c>
      <c r="F466">
        <f>IF(B466=0,0,E466/B466)</f>
        <v/>
      </c>
      <c r="G466">
        <f>IF($A466="","",IFERROR(AVERAGEIFS(Orders_Log!$H:$H,Orders_Log!$C:$C,$A466,Orders_Log!$H:$H,"&gt;0"),0))</f>
        <v/>
      </c>
      <c r="H466">
        <f>IF($A466="","",COUNTIFS(Orders_Log!$C:$C,$A466,Orders_Log!$P:$P,"Returned to Picker"))</f>
        <v/>
      </c>
    </row>
    <row r="467">
      <c r="B467">
        <f>IF($A467="","",COUNTIFS(Orders_Log!$C:$C,$A467,Orders_Log!$B:$B,"&lt;&gt;"))</f>
        <v/>
      </c>
      <c r="C467">
        <f>IF($A467="","",COUNTIFS(Orders_Log!$C:$C,$A467,Orders_Log!$M:$M,"Yes"))</f>
        <v/>
      </c>
      <c r="D467" s="5">
        <f>IF(B467=0,0,C467/B467)</f>
        <v/>
      </c>
      <c r="E467">
        <f>IF($A467="","",SUMIFS(Orders_Log!$I:$I,Orders_Log!$C:$C,$A467))</f>
        <v/>
      </c>
      <c r="F467">
        <f>IF(B467=0,0,E467/B467)</f>
        <v/>
      </c>
      <c r="G467">
        <f>IF($A467="","",IFERROR(AVERAGEIFS(Orders_Log!$H:$H,Orders_Log!$C:$C,$A467,Orders_Log!$H:$H,"&gt;0"),0))</f>
        <v/>
      </c>
      <c r="H467">
        <f>IF($A467="","",COUNTIFS(Orders_Log!$C:$C,$A467,Orders_Log!$P:$P,"Returned to Picker"))</f>
        <v/>
      </c>
    </row>
    <row r="468">
      <c r="B468">
        <f>IF($A468="","",COUNTIFS(Orders_Log!$C:$C,$A468,Orders_Log!$B:$B,"&lt;&gt;"))</f>
        <v/>
      </c>
      <c r="C468">
        <f>IF($A468="","",COUNTIFS(Orders_Log!$C:$C,$A468,Orders_Log!$M:$M,"Yes"))</f>
        <v/>
      </c>
      <c r="D468" s="5">
        <f>IF(B468=0,0,C468/B468)</f>
        <v/>
      </c>
      <c r="E468">
        <f>IF($A468="","",SUMIFS(Orders_Log!$I:$I,Orders_Log!$C:$C,$A468))</f>
        <v/>
      </c>
      <c r="F468">
        <f>IF(B468=0,0,E468/B468)</f>
        <v/>
      </c>
      <c r="G468">
        <f>IF($A468="","",IFERROR(AVERAGEIFS(Orders_Log!$H:$H,Orders_Log!$C:$C,$A468,Orders_Log!$H:$H,"&gt;0"),0))</f>
        <v/>
      </c>
      <c r="H468">
        <f>IF($A468="","",COUNTIFS(Orders_Log!$C:$C,$A468,Orders_Log!$P:$P,"Returned to Picker"))</f>
        <v/>
      </c>
    </row>
    <row r="469">
      <c r="B469">
        <f>IF($A469="","",COUNTIFS(Orders_Log!$C:$C,$A469,Orders_Log!$B:$B,"&lt;&gt;"))</f>
        <v/>
      </c>
      <c r="C469">
        <f>IF($A469="","",COUNTIFS(Orders_Log!$C:$C,$A469,Orders_Log!$M:$M,"Yes"))</f>
        <v/>
      </c>
      <c r="D469" s="5">
        <f>IF(B469=0,0,C469/B469)</f>
        <v/>
      </c>
      <c r="E469">
        <f>IF($A469="","",SUMIFS(Orders_Log!$I:$I,Orders_Log!$C:$C,$A469))</f>
        <v/>
      </c>
      <c r="F469">
        <f>IF(B469=0,0,E469/B469)</f>
        <v/>
      </c>
      <c r="G469">
        <f>IF($A469="","",IFERROR(AVERAGEIFS(Orders_Log!$H:$H,Orders_Log!$C:$C,$A469,Orders_Log!$H:$H,"&gt;0"),0))</f>
        <v/>
      </c>
      <c r="H469">
        <f>IF($A469="","",COUNTIFS(Orders_Log!$C:$C,$A469,Orders_Log!$P:$P,"Returned to Picker"))</f>
        <v/>
      </c>
    </row>
    <row r="470">
      <c r="B470">
        <f>IF($A470="","",COUNTIFS(Orders_Log!$C:$C,$A470,Orders_Log!$B:$B,"&lt;&gt;"))</f>
        <v/>
      </c>
      <c r="C470">
        <f>IF($A470="","",COUNTIFS(Orders_Log!$C:$C,$A470,Orders_Log!$M:$M,"Yes"))</f>
        <v/>
      </c>
      <c r="D470" s="5">
        <f>IF(B470=0,0,C470/B470)</f>
        <v/>
      </c>
      <c r="E470">
        <f>IF($A470="","",SUMIFS(Orders_Log!$I:$I,Orders_Log!$C:$C,$A470))</f>
        <v/>
      </c>
      <c r="F470">
        <f>IF(B470=0,0,E470/B470)</f>
        <v/>
      </c>
      <c r="G470">
        <f>IF($A470="","",IFERROR(AVERAGEIFS(Orders_Log!$H:$H,Orders_Log!$C:$C,$A470,Orders_Log!$H:$H,"&gt;0"),0))</f>
        <v/>
      </c>
      <c r="H470">
        <f>IF($A470="","",COUNTIFS(Orders_Log!$C:$C,$A470,Orders_Log!$P:$P,"Returned to Picker"))</f>
        <v/>
      </c>
    </row>
    <row r="471">
      <c r="B471">
        <f>IF($A471="","",COUNTIFS(Orders_Log!$C:$C,$A471,Orders_Log!$B:$B,"&lt;&gt;"))</f>
        <v/>
      </c>
      <c r="C471">
        <f>IF($A471="","",COUNTIFS(Orders_Log!$C:$C,$A471,Orders_Log!$M:$M,"Yes"))</f>
        <v/>
      </c>
      <c r="D471" s="5">
        <f>IF(B471=0,0,C471/B471)</f>
        <v/>
      </c>
      <c r="E471">
        <f>IF($A471="","",SUMIFS(Orders_Log!$I:$I,Orders_Log!$C:$C,$A471))</f>
        <v/>
      </c>
      <c r="F471">
        <f>IF(B471=0,0,E471/B471)</f>
        <v/>
      </c>
      <c r="G471">
        <f>IF($A471="","",IFERROR(AVERAGEIFS(Orders_Log!$H:$H,Orders_Log!$C:$C,$A471,Orders_Log!$H:$H,"&gt;0"),0))</f>
        <v/>
      </c>
      <c r="H471">
        <f>IF($A471="","",COUNTIFS(Orders_Log!$C:$C,$A471,Orders_Log!$P:$P,"Returned to Picker"))</f>
        <v/>
      </c>
    </row>
    <row r="472">
      <c r="B472">
        <f>IF($A472="","",COUNTIFS(Orders_Log!$C:$C,$A472,Orders_Log!$B:$B,"&lt;&gt;"))</f>
        <v/>
      </c>
      <c r="C472">
        <f>IF($A472="","",COUNTIFS(Orders_Log!$C:$C,$A472,Orders_Log!$M:$M,"Yes"))</f>
        <v/>
      </c>
      <c r="D472" s="5">
        <f>IF(B472=0,0,C472/B472)</f>
        <v/>
      </c>
      <c r="E472">
        <f>IF($A472="","",SUMIFS(Orders_Log!$I:$I,Orders_Log!$C:$C,$A472))</f>
        <v/>
      </c>
      <c r="F472">
        <f>IF(B472=0,0,E472/B472)</f>
        <v/>
      </c>
      <c r="G472">
        <f>IF($A472="","",IFERROR(AVERAGEIFS(Orders_Log!$H:$H,Orders_Log!$C:$C,$A472,Orders_Log!$H:$H,"&gt;0"),0))</f>
        <v/>
      </c>
      <c r="H472">
        <f>IF($A472="","",COUNTIFS(Orders_Log!$C:$C,$A472,Orders_Log!$P:$P,"Returned to Picker"))</f>
        <v/>
      </c>
    </row>
    <row r="473">
      <c r="B473">
        <f>IF($A473="","",COUNTIFS(Orders_Log!$C:$C,$A473,Orders_Log!$B:$B,"&lt;&gt;"))</f>
        <v/>
      </c>
      <c r="C473">
        <f>IF($A473="","",COUNTIFS(Orders_Log!$C:$C,$A473,Orders_Log!$M:$M,"Yes"))</f>
        <v/>
      </c>
      <c r="D473" s="5">
        <f>IF(B473=0,0,C473/B473)</f>
        <v/>
      </c>
      <c r="E473">
        <f>IF($A473="","",SUMIFS(Orders_Log!$I:$I,Orders_Log!$C:$C,$A473))</f>
        <v/>
      </c>
      <c r="F473">
        <f>IF(B473=0,0,E473/B473)</f>
        <v/>
      </c>
      <c r="G473">
        <f>IF($A473="","",IFERROR(AVERAGEIFS(Orders_Log!$H:$H,Orders_Log!$C:$C,$A473,Orders_Log!$H:$H,"&gt;0"),0))</f>
        <v/>
      </c>
      <c r="H473">
        <f>IF($A473="","",COUNTIFS(Orders_Log!$C:$C,$A473,Orders_Log!$P:$P,"Returned to Picker"))</f>
        <v/>
      </c>
    </row>
    <row r="474">
      <c r="B474">
        <f>IF($A474="","",COUNTIFS(Orders_Log!$C:$C,$A474,Orders_Log!$B:$B,"&lt;&gt;"))</f>
        <v/>
      </c>
      <c r="C474">
        <f>IF($A474="","",COUNTIFS(Orders_Log!$C:$C,$A474,Orders_Log!$M:$M,"Yes"))</f>
        <v/>
      </c>
      <c r="D474" s="5">
        <f>IF(B474=0,0,C474/B474)</f>
        <v/>
      </c>
      <c r="E474">
        <f>IF($A474="","",SUMIFS(Orders_Log!$I:$I,Orders_Log!$C:$C,$A474))</f>
        <v/>
      </c>
      <c r="F474">
        <f>IF(B474=0,0,E474/B474)</f>
        <v/>
      </c>
      <c r="G474">
        <f>IF($A474="","",IFERROR(AVERAGEIFS(Orders_Log!$H:$H,Orders_Log!$C:$C,$A474,Orders_Log!$H:$H,"&gt;0"),0))</f>
        <v/>
      </c>
      <c r="H474">
        <f>IF($A474="","",COUNTIFS(Orders_Log!$C:$C,$A474,Orders_Log!$P:$P,"Returned to Picker"))</f>
        <v/>
      </c>
    </row>
    <row r="475">
      <c r="B475">
        <f>IF($A475="","",COUNTIFS(Orders_Log!$C:$C,$A475,Orders_Log!$B:$B,"&lt;&gt;"))</f>
        <v/>
      </c>
      <c r="C475">
        <f>IF($A475="","",COUNTIFS(Orders_Log!$C:$C,$A475,Orders_Log!$M:$M,"Yes"))</f>
        <v/>
      </c>
      <c r="D475" s="5">
        <f>IF(B475=0,0,C475/B475)</f>
        <v/>
      </c>
      <c r="E475">
        <f>IF($A475="","",SUMIFS(Orders_Log!$I:$I,Orders_Log!$C:$C,$A475))</f>
        <v/>
      </c>
      <c r="F475">
        <f>IF(B475=0,0,E475/B475)</f>
        <v/>
      </c>
      <c r="G475">
        <f>IF($A475="","",IFERROR(AVERAGEIFS(Orders_Log!$H:$H,Orders_Log!$C:$C,$A475,Orders_Log!$H:$H,"&gt;0"),0))</f>
        <v/>
      </c>
      <c r="H475">
        <f>IF($A475="","",COUNTIFS(Orders_Log!$C:$C,$A475,Orders_Log!$P:$P,"Returned to Picker"))</f>
        <v/>
      </c>
    </row>
    <row r="476">
      <c r="B476">
        <f>IF($A476="","",COUNTIFS(Orders_Log!$C:$C,$A476,Orders_Log!$B:$B,"&lt;&gt;"))</f>
        <v/>
      </c>
      <c r="C476">
        <f>IF($A476="","",COUNTIFS(Orders_Log!$C:$C,$A476,Orders_Log!$M:$M,"Yes"))</f>
        <v/>
      </c>
      <c r="D476" s="5">
        <f>IF(B476=0,0,C476/B476)</f>
        <v/>
      </c>
      <c r="E476">
        <f>IF($A476="","",SUMIFS(Orders_Log!$I:$I,Orders_Log!$C:$C,$A476))</f>
        <v/>
      </c>
      <c r="F476">
        <f>IF(B476=0,0,E476/B476)</f>
        <v/>
      </c>
      <c r="G476">
        <f>IF($A476="","",IFERROR(AVERAGEIFS(Orders_Log!$H:$H,Orders_Log!$C:$C,$A476,Orders_Log!$H:$H,"&gt;0"),0))</f>
        <v/>
      </c>
      <c r="H476">
        <f>IF($A476="","",COUNTIFS(Orders_Log!$C:$C,$A476,Orders_Log!$P:$P,"Returned to Picker"))</f>
        <v/>
      </c>
    </row>
    <row r="477">
      <c r="B477">
        <f>IF($A477="","",COUNTIFS(Orders_Log!$C:$C,$A477,Orders_Log!$B:$B,"&lt;&gt;"))</f>
        <v/>
      </c>
      <c r="C477">
        <f>IF($A477="","",COUNTIFS(Orders_Log!$C:$C,$A477,Orders_Log!$M:$M,"Yes"))</f>
        <v/>
      </c>
      <c r="D477" s="5">
        <f>IF(B477=0,0,C477/B477)</f>
        <v/>
      </c>
      <c r="E477">
        <f>IF($A477="","",SUMIFS(Orders_Log!$I:$I,Orders_Log!$C:$C,$A477))</f>
        <v/>
      </c>
      <c r="F477">
        <f>IF(B477=0,0,E477/B477)</f>
        <v/>
      </c>
      <c r="G477">
        <f>IF($A477="","",IFERROR(AVERAGEIFS(Orders_Log!$H:$H,Orders_Log!$C:$C,$A477,Orders_Log!$H:$H,"&gt;0"),0))</f>
        <v/>
      </c>
      <c r="H477">
        <f>IF($A477="","",COUNTIFS(Orders_Log!$C:$C,$A477,Orders_Log!$P:$P,"Returned to Picker"))</f>
        <v/>
      </c>
    </row>
    <row r="478">
      <c r="B478">
        <f>IF($A478="","",COUNTIFS(Orders_Log!$C:$C,$A478,Orders_Log!$B:$B,"&lt;&gt;"))</f>
        <v/>
      </c>
      <c r="C478">
        <f>IF($A478="","",COUNTIFS(Orders_Log!$C:$C,$A478,Orders_Log!$M:$M,"Yes"))</f>
        <v/>
      </c>
      <c r="D478" s="5">
        <f>IF(B478=0,0,C478/B478)</f>
        <v/>
      </c>
      <c r="E478">
        <f>IF($A478="","",SUMIFS(Orders_Log!$I:$I,Orders_Log!$C:$C,$A478))</f>
        <v/>
      </c>
      <c r="F478">
        <f>IF(B478=0,0,E478/B478)</f>
        <v/>
      </c>
      <c r="G478">
        <f>IF($A478="","",IFERROR(AVERAGEIFS(Orders_Log!$H:$H,Orders_Log!$C:$C,$A478,Orders_Log!$H:$H,"&gt;0"),0))</f>
        <v/>
      </c>
      <c r="H478">
        <f>IF($A478="","",COUNTIFS(Orders_Log!$C:$C,$A478,Orders_Log!$P:$P,"Returned to Picker"))</f>
        <v/>
      </c>
    </row>
    <row r="479">
      <c r="B479">
        <f>IF($A479="","",COUNTIFS(Orders_Log!$C:$C,$A479,Orders_Log!$B:$B,"&lt;&gt;"))</f>
        <v/>
      </c>
      <c r="C479">
        <f>IF($A479="","",COUNTIFS(Orders_Log!$C:$C,$A479,Orders_Log!$M:$M,"Yes"))</f>
        <v/>
      </c>
      <c r="D479" s="5">
        <f>IF(B479=0,0,C479/B479)</f>
        <v/>
      </c>
      <c r="E479">
        <f>IF($A479="","",SUMIFS(Orders_Log!$I:$I,Orders_Log!$C:$C,$A479))</f>
        <v/>
      </c>
      <c r="F479">
        <f>IF(B479=0,0,E479/B479)</f>
        <v/>
      </c>
      <c r="G479">
        <f>IF($A479="","",IFERROR(AVERAGEIFS(Orders_Log!$H:$H,Orders_Log!$C:$C,$A479,Orders_Log!$H:$H,"&gt;0"),0))</f>
        <v/>
      </c>
      <c r="H479">
        <f>IF($A479="","",COUNTIFS(Orders_Log!$C:$C,$A479,Orders_Log!$P:$P,"Returned to Picker"))</f>
        <v/>
      </c>
    </row>
    <row r="480">
      <c r="B480">
        <f>IF($A480="","",COUNTIFS(Orders_Log!$C:$C,$A480,Orders_Log!$B:$B,"&lt;&gt;"))</f>
        <v/>
      </c>
      <c r="C480">
        <f>IF($A480="","",COUNTIFS(Orders_Log!$C:$C,$A480,Orders_Log!$M:$M,"Yes"))</f>
        <v/>
      </c>
      <c r="D480" s="5">
        <f>IF(B480=0,0,C480/B480)</f>
        <v/>
      </c>
      <c r="E480">
        <f>IF($A480="","",SUMIFS(Orders_Log!$I:$I,Orders_Log!$C:$C,$A480))</f>
        <v/>
      </c>
      <c r="F480">
        <f>IF(B480=0,0,E480/B480)</f>
        <v/>
      </c>
      <c r="G480">
        <f>IF($A480="","",IFERROR(AVERAGEIFS(Orders_Log!$H:$H,Orders_Log!$C:$C,$A480,Orders_Log!$H:$H,"&gt;0"),0))</f>
        <v/>
      </c>
      <c r="H480">
        <f>IF($A480="","",COUNTIFS(Orders_Log!$C:$C,$A480,Orders_Log!$P:$P,"Returned to Picker"))</f>
        <v/>
      </c>
    </row>
    <row r="481">
      <c r="B481">
        <f>IF($A481="","",COUNTIFS(Orders_Log!$C:$C,$A481,Orders_Log!$B:$B,"&lt;&gt;"))</f>
        <v/>
      </c>
      <c r="C481">
        <f>IF($A481="","",COUNTIFS(Orders_Log!$C:$C,$A481,Orders_Log!$M:$M,"Yes"))</f>
        <v/>
      </c>
      <c r="D481" s="5">
        <f>IF(B481=0,0,C481/B481)</f>
        <v/>
      </c>
      <c r="E481">
        <f>IF($A481="","",SUMIFS(Orders_Log!$I:$I,Orders_Log!$C:$C,$A481))</f>
        <v/>
      </c>
      <c r="F481">
        <f>IF(B481=0,0,E481/B481)</f>
        <v/>
      </c>
      <c r="G481">
        <f>IF($A481="","",IFERROR(AVERAGEIFS(Orders_Log!$H:$H,Orders_Log!$C:$C,$A481,Orders_Log!$H:$H,"&gt;0"),0))</f>
        <v/>
      </c>
      <c r="H481">
        <f>IF($A481="","",COUNTIFS(Orders_Log!$C:$C,$A481,Orders_Log!$P:$P,"Returned to Picker"))</f>
        <v/>
      </c>
    </row>
    <row r="482">
      <c r="B482">
        <f>IF($A482="","",COUNTIFS(Orders_Log!$C:$C,$A482,Orders_Log!$B:$B,"&lt;&gt;"))</f>
        <v/>
      </c>
      <c r="C482">
        <f>IF($A482="","",COUNTIFS(Orders_Log!$C:$C,$A482,Orders_Log!$M:$M,"Yes"))</f>
        <v/>
      </c>
      <c r="D482" s="5">
        <f>IF(B482=0,0,C482/B482)</f>
        <v/>
      </c>
      <c r="E482">
        <f>IF($A482="","",SUMIFS(Orders_Log!$I:$I,Orders_Log!$C:$C,$A482))</f>
        <v/>
      </c>
      <c r="F482">
        <f>IF(B482=0,0,E482/B482)</f>
        <v/>
      </c>
      <c r="G482">
        <f>IF($A482="","",IFERROR(AVERAGEIFS(Orders_Log!$H:$H,Orders_Log!$C:$C,$A482,Orders_Log!$H:$H,"&gt;0"),0))</f>
        <v/>
      </c>
      <c r="H482">
        <f>IF($A482="","",COUNTIFS(Orders_Log!$C:$C,$A482,Orders_Log!$P:$P,"Returned to Picker"))</f>
        <v/>
      </c>
    </row>
    <row r="483">
      <c r="B483">
        <f>IF($A483="","",COUNTIFS(Orders_Log!$C:$C,$A483,Orders_Log!$B:$B,"&lt;&gt;"))</f>
        <v/>
      </c>
      <c r="C483">
        <f>IF($A483="","",COUNTIFS(Orders_Log!$C:$C,$A483,Orders_Log!$M:$M,"Yes"))</f>
        <v/>
      </c>
      <c r="D483" s="5">
        <f>IF(B483=0,0,C483/B483)</f>
        <v/>
      </c>
      <c r="E483">
        <f>IF($A483="","",SUMIFS(Orders_Log!$I:$I,Orders_Log!$C:$C,$A483))</f>
        <v/>
      </c>
      <c r="F483">
        <f>IF(B483=0,0,E483/B483)</f>
        <v/>
      </c>
      <c r="G483">
        <f>IF($A483="","",IFERROR(AVERAGEIFS(Orders_Log!$H:$H,Orders_Log!$C:$C,$A483,Orders_Log!$H:$H,"&gt;0"),0))</f>
        <v/>
      </c>
      <c r="H483">
        <f>IF($A483="","",COUNTIFS(Orders_Log!$C:$C,$A483,Orders_Log!$P:$P,"Returned to Picker"))</f>
        <v/>
      </c>
    </row>
    <row r="484">
      <c r="B484">
        <f>IF($A484="","",COUNTIFS(Orders_Log!$C:$C,$A484,Orders_Log!$B:$B,"&lt;&gt;"))</f>
        <v/>
      </c>
      <c r="C484">
        <f>IF($A484="","",COUNTIFS(Orders_Log!$C:$C,$A484,Orders_Log!$M:$M,"Yes"))</f>
        <v/>
      </c>
      <c r="D484" s="5">
        <f>IF(B484=0,0,C484/B484)</f>
        <v/>
      </c>
      <c r="E484">
        <f>IF($A484="","",SUMIFS(Orders_Log!$I:$I,Orders_Log!$C:$C,$A484))</f>
        <v/>
      </c>
      <c r="F484">
        <f>IF(B484=0,0,E484/B484)</f>
        <v/>
      </c>
      <c r="G484">
        <f>IF($A484="","",IFERROR(AVERAGEIFS(Orders_Log!$H:$H,Orders_Log!$C:$C,$A484,Orders_Log!$H:$H,"&gt;0"),0))</f>
        <v/>
      </c>
      <c r="H484">
        <f>IF($A484="","",COUNTIFS(Orders_Log!$C:$C,$A484,Orders_Log!$P:$P,"Returned to Picker"))</f>
        <v/>
      </c>
    </row>
    <row r="485">
      <c r="B485">
        <f>IF($A485="","",COUNTIFS(Orders_Log!$C:$C,$A485,Orders_Log!$B:$B,"&lt;&gt;"))</f>
        <v/>
      </c>
      <c r="C485">
        <f>IF($A485="","",COUNTIFS(Orders_Log!$C:$C,$A485,Orders_Log!$M:$M,"Yes"))</f>
        <v/>
      </c>
      <c r="D485" s="5">
        <f>IF(B485=0,0,C485/B485)</f>
        <v/>
      </c>
      <c r="E485">
        <f>IF($A485="","",SUMIFS(Orders_Log!$I:$I,Orders_Log!$C:$C,$A485))</f>
        <v/>
      </c>
      <c r="F485">
        <f>IF(B485=0,0,E485/B485)</f>
        <v/>
      </c>
      <c r="G485">
        <f>IF($A485="","",IFERROR(AVERAGEIFS(Orders_Log!$H:$H,Orders_Log!$C:$C,$A485,Orders_Log!$H:$H,"&gt;0"),0))</f>
        <v/>
      </c>
      <c r="H485">
        <f>IF($A485="","",COUNTIFS(Orders_Log!$C:$C,$A485,Orders_Log!$P:$P,"Returned to Picker"))</f>
        <v/>
      </c>
    </row>
    <row r="486">
      <c r="B486">
        <f>IF($A486="","",COUNTIFS(Orders_Log!$C:$C,$A486,Orders_Log!$B:$B,"&lt;&gt;"))</f>
        <v/>
      </c>
      <c r="C486">
        <f>IF($A486="","",COUNTIFS(Orders_Log!$C:$C,$A486,Orders_Log!$M:$M,"Yes"))</f>
        <v/>
      </c>
      <c r="D486" s="5">
        <f>IF(B486=0,0,C486/B486)</f>
        <v/>
      </c>
      <c r="E486">
        <f>IF($A486="","",SUMIFS(Orders_Log!$I:$I,Orders_Log!$C:$C,$A486))</f>
        <v/>
      </c>
      <c r="F486">
        <f>IF(B486=0,0,E486/B486)</f>
        <v/>
      </c>
      <c r="G486">
        <f>IF($A486="","",IFERROR(AVERAGEIFS(Orders_Log!$H:$H,Orders_Log!$C:$C,$A486,Orders_Log!$H:$H,"&gt;0"),0))</f>
        <v/>
      </c>
      <c r="H486">
        <f>IF($A486="","",COUNTIFS(Orders_Log!$C:$C,$A486,Orders_Log!$P:$P,"Returned to Picker"))</f>
        <v/>
      </c>
    </row>
    <row r="487">
      <c r="B487">
        <f>IF($A487="","",COUNTIFS(Orders_Log!$C:$C,$A487,Orders_Log!$B:$B,"&lt;&gt;"))</f>
        <v/>
      </c>
      <c r="C487">
        <f>IF($A487="","",COUNTIFS(Orders_Log!$C:$C,$A487,Orders_Log!$M:$M,"Yes"))</f>
        <v/>
      </c>
      <c r="D487" s="5">
        <f>IF(B487=0,0,C487/B487)</f>
        <v/>
      </c>
      <c r="E487">
        <f>IF($A487="","",SUMIFS(Orders_Log!$I:$I,Orders_Log!$C:$C,$A487))</f>
        <v/>
      </c>
      <c r="F487">
        <f>IF(B487=0,0,E487/B487)</f>
        <v/>
      </c>
      <c r="G487">
        <f>IF($A487="","",IFERROR(AVERAGEIFS(Orders_Log!$H:$H,Orders_Log!$C:$C,$A487,Orders_Log!$H:$H,"&gt;0"),0))</f>
        <v/>
      </c>
      <c r="H487">
        <f>IF($A487="","",COUNTIFS(Orders_Log!$C:$C,$A487,Orders_Log!$P:$P,"Returned to Picker"))</f>
        <v/>
      </c>
    </row>
    <row r="488">
      <c r="B488">
        <f>IF($A488="","",COUNTIFS(Orders_Log!$C:$C,$A488,Orders_Log!$B:$B,"&lt;&gt;"))</f>
        <v/>
      </c>
      <c r="C488">
        <f>IF($A488="","",COUNTIFS(Orders_Log!$C:$C,$A488,Orders_Log!$M:$M,"Yes"))</f>
        <v/>
      </c>
      <c r="D488" s="5">
        <f>IF(B488=0,0,C488/B488)</f>
        <v/>
      </c>
      <c r="E488">
        <f>IF($A488="","",SUMIFS(Orders_Log!$I:$I,Orders_Log!$C:$C,$A488))</f>
        <v/>
      </c>
      <c r="F488">
        <f>IF(B488=0,0,E488/B488)</f>
        <v/>
      </c>
      <c r="G488">
        <f>IF($A488="","",IFERROR(AVERAGEIFS(Orders_Log!$H:$H,Orders_Log!$C:$C,$A488,Orders_Log!$H:$H,"&gt;0"),0))</f>
        <v/>
      </c>
      <c r="H488">
        <f>IF($A488="","",COUNTIFS(Orders_Log!$C:$C,$A488,Orders_Log!$P:$P,"Returned to Picker"))</f>
        <v/>
      </c>
    </row>
    <row r="489">
      <c r="B489">
        <f>IF($A489="","",COUNTIFS(Orders_Log!$C:$C,$A489,Orders_Log!$B:$B,"&lt;&gt;"))</f>
        <v/>
      </c>
      <c r="C489">
        <f>IF($A489="","",COUNTIFS(Orders_Log!$C:$C,$A489,Orders_Log!$M:$M,"Yes"))</f>
        <v/>
      </c>
      <c r="D489" s="5">
        <f>IF(B489=0,0,C489/B489)</f>
        <v/>
      </c>
      <c r="E489">
        <f>IF($A489="","",SUMIFS(Orders_Log!$I:$I,Orders_Log!$C:$C,$A489))</f>
        <v/>
      </c>
      <c r="F489">
        <f>IF(B489=0,0,E489/B489)</f>
        <v/>
      </c>
      <c r="G489">
        <f>IF($A489="","",IFERROR(AVERAGEIFS(Orders_Log!$H:$H,Orders_Log!$C:$C,$A489,Orders_Log!$H:$H,"&gt;0"),0))</f>
        <v/>
      </c>
      <c r="H489">
        <f>IF($A489="","",COUNTIFS(Orders_Log!$C:$C,$A489,Orders_Log!$P:$P,"Returned to Picker"))</f>
        <v/>
      </c>
    </row>
    <row r="490">
      <c r="B490">
        <f>IF($A490="","",COUNTIFS(Orders_Log!$C:$C,$A490,Orders_Log!$B:$B,"&lt;&gt;"))</f>
        <v/>
      </c>
      <c r="C490">
        <f>IF($A490="","",COUNTIFS(Orders_Log!$C:$C,$A490,Orders_Log!$M:$M,"Yes"))</f>
        <v/>
      </c>
      <c r="D490" s="5">
        <f>IF(B490=0,0,C490/B490)</f>
        <v/>
      </c>
      <c r="E490">
        <f>IF($A490="","",SUMIFS(Orders_Log!$I:$I,Orders_Log!$C:$C,$A490))</f>
        <v/>
      </c>
      <c r="F490">
        <f>IF(B490=0,0,E490/B490)</f>
        <v/>
      </c>
      <c r="G490">
        <f>IF($A490="","",IFERROR(AVERAGEIFS(Orders_Log!$H:$H,Orders_Log!$C:$C,$A490,Orders_Log!$H:$H,"&gt;0"),0))</f>
        <v/>
      </c>
      <c r="H490">
        <f>IF($A490="","",COUNTIFS(Orders_Log!$C:$C,$A490,Orders_Log!$P:$P,"Returned to Picker"))</f>
        <v/>
      </c>
    </row>
    <row r="491">
      <c r="B491">
        <f>IF($A491="","",COUNTIFS(Orders_Log!$C:$C,$A491,Orders_Log!$B:$B,"&lt;&gt;"))</f>
        <v/>
      </c>
      <c r="C491">
        <f>IF($A491="","",COUNTIFS(Orders_Log!$C:$C,$A491,Orders_Log!$M:$M,"Yes"))</f>
        <v/>
      </c>
      <c r="D491" s="5">
        <f>IF(B491=0,0,C491/B491)</f>
        <v/>
      </c>
      <c r="E491">
        <f>IF($A491="","",SUMIFS(Orders_Log!$I:$I,Orders_Log!$C:$C,$A491))</f>
        <v/>
      </c>
      <c r="F491">
        <f>IF(B491=0,0,E491/B491)</f>
        <v/>
      </c>
      <c r="G491">
        <f>IF($A491="","",IFERROR(AVERAGEIFS(Orders_Log!$H:$H,Orders_Log!$C:$C,$A491,Orders_Log!$H:$H,"&gt;0"),0))</f>
        <v/>
      </c>
      <c r="H491">
        <f>IF($A491="","",COUNTIFS(Orders_Log!$C:$C,$A491,Orders_Log!$P:$P,"Returned to Picker"))</f>
        <v/>
      </c>
    </row>
    <row r="492">
      <c r="B492">
        <f>IF($A492="","",COUNTIFS(Orders_Log!$C:$C,$A492,Orders_Log!$B:$B,"&lt;&gt;"))</f>
        <v/>
      </c>
      <c r="C492">
        <f>IF($A492="","",COUNTIFS(Orders_Log!$C:$C,$A492,Orders_Log!$M:$M,"Yes"))</f>
        <v/>
      </c>
      <c r="D492" s="5">
        <f>IF(B492=0,0,C492/B492)</f>
        <v/>
      </c>
      <c r="E492">
        <f>IF($A492="","",SUMIFS(Orders_Log!$I:$I,Orders_Log!$C:$C,$A492))</f>
        <v/>
      </c>
      <c r="F492">
        <f>IF(B492=0,0,E492/B492)</f>
        <v/>
      </c>
      <c r="G492">
        <f>IF($A492="","",IFERROR(AVERAGEIFS(Orders_Log!$H:$H,Orders_Log!$C:$C,$A492,Orders_Log!$H:$H,"&gt;0"),0))</f>
        <v/>
      </c>
      <c r="H492">
        <f>IF($A492="","",COUNTIFS(Orders_Log!$C:$C,$A492,Orders_Log!$P:$P,"Returned to Picker"))</f>
        <v/>
      </c>
    </row>
    <row r="493">
      <c r="B493">
        <f>IF($A493="","",COUNTIFS(Orders_Log!$C:$C,$A493,Orders_Log!$B:$B,"&lt;&gt;"))</f>
        <v/>
      </c>
      <c r="C493">
        <f>IF($A493="","",COUNTIFS(Orders_Log!$C:$C,$A493,Orders_Log!$M:$M,"Yes"))</f>
        <v/>
      </c>
      <c r="D493" s="5">
        <f>IF(B493=0,0,C493/B493)</f>
        <v/>
      </c>
      <c r="E493">
        <f>IF($A493="","",SUMIFS(Orders_Log!$I:$I,Orders_Log!$C:$C,$A493))</f>
        <v/>
      </c>
      <c r="F493">
        <f>IF(B493=0,0,E493/B493)</f>
        <v/>
      </c>
      <c r="G493">
        <f>IF($A493="","",IFERROR(AVERAGEIFS(Orders_Log!$H:$H,Orders_Log!$C:$C,$A493,Orders_Log!$H:$H,"&gt;0"),0))</f>
        <v/>
      </c>
      <c r="H493">
        <f>IF($A493="","",COUNTIFS(Orders_Log!$C:$C,$A493,Orders_Log!$P:$P,"Returned to Picker"))</f>
        <v/>
      </c>
    </row>
    <row r="494">
      <c r="B494">
        <f>IF($A494="","",COUNTIFS(Orders_Log!$C:$C,$A494,Orders_Log!$B:$B,"&lt;&gt;"))</f>
        <v/>
      </c>
      <c r="C494">
        <f>IF($A494="","",COUNTIFS(Orders_Log!$C:$C,$A494,Orders_Log!$M:$M,"Yes"))</f>
        <v/>
      </c>
      <c r="D494" s="5">
        <f>IF(B494=0,0,C494/B494)</f>
        <v/>
      </c>
      <c r="E494">
        <f>IF($A494="","",SUMIFS(Orders_Log!$I:$I,Orders_Log!$C:$C,$A494))</f>
        <v/>
      </c>
      <c r="F494">
        <f>IF(B494=0,0,E494/B494)</f>
        <v/>
      </c>
      <c r="G494">
        <f>IF($A494="","",IFERROR(AVERAGEIFS(Orders_Log!$H:$H,Orders_Log!$C:$C,$A494,Orders_Log!$H:$H,"&gt;0"),0))</f>
        <v/>
      </c>
      <c r="H494">
        <f>IF($A494="","",COUNTIFS(Orders_Log!$C:$C,$A494,Orders_Log!$P:$P,"Returned to Picker"))</f>
        <v/>
      </c>
    </row>
    <row r="495">
      <c r="B495">
        <f>IF($A495="","",COUNTIFS(Orders_Log!$C:$C,$A495,Orders_Log!$B:$B,"&lt;&gt;"))</f>
        <v/>
      </c>
      <c r="C495">
        <f>IF($A495="","",COUNTIFS(Orders_Log!$C:$C,$A495,Orders_Log!$M:$M,"Yes"))</f>
        <v/>
      </c>
      <c r="D495" s="5">
        <f>IF(B495=0,0,C495/B495)</f>
        <v/>
      </c>
      <c r="E495">
        <f>IF($A495="","",SUMIFS(Orders_Log!$I:$I,Orders_Log!$C:$C,$A495))</f>
        <v/>
      </c>
      <c r="F495">
        <f>IF(B495=0,0,E495/B495)</f>
        <v/>
      </c>
      <c r="G495">
        <f>IF($A495="","",IFERROR(AVERAGEIFS(Orders_Log!$H:$H,Orders_Log!$C:$C,$A495,Orders_Log!$H:$H,"&gt;0"),0))</f>
        <v/>
      </c>
      <c r="H495">
        <f>IF($A495="","",COUNTIFS(Orders_Log!$C:$C,$A495,Orders_Log!$P:$P,"Returned to Picker"))</f>
        <v/>
      </c>
    </row>
    <row r="496">
      <c r="B496">
        <f>IF($A496="","",COUNTIFS(Orders_Log!$C:$C,$A496,Orders_Log!$B:$B,"&lt;&gt;"))</f>
        <v/>
      </c>
      <c r="C496">
        <f>IF($A496="","",COUNTIFS(Orders_Log!$C:$C,$A496,Orders_Log!$M:$M,"Yes"))</f>
        <v/>
      </c>
      <c r="D496" s="5">
        <f>IF(B496=0,0,C496/B496)</f>
        <v/>
      </c>
      <c r="E496">
        <f>IF($A496="","",SUMIFS(Orders_Log!$I:$I,Orders_Log!$C:$C,$A496))</f>
        <v/>
      </c>
      <c r="F496">
        <f>IF(B496=0,0,E496/B496)</f>
        <v/>
      </c>
      <c r="G496">
        <f>IF($A496="","",IFERROR(AVERAGEIFS(Orders_Log!$H:$H,Orders_Log!$C:$C,$A496,Orders_Log!$H:$H,"&gt;0"),0))</f>
        <v/>
      </c>
      <c r="H496">
        <f>IF($A496="","",COUNTIFS(Orders_Log!$C:$C,$A496,Orders_Log!$P:$P,"Returned to Picker"))</f>
        <v/>
      </c>
    </row>
    <row r="497">
      <c r="B497">
        <f>IF($A497="","",COUNTIFS(Orders_Log!$C:$C,$A497,Orders_Log!$B:$B,"&lt;&gt;"))</f>
        <v/>
      </c>
      <c r="C497">
        <f>IF($A497="","",COUNTIFS(Orders_Log!$C:$C,$A497,Orders_Log!$M:$M,"Yes"))</f>
        <v/>
      </c>
      <c r="D497" s="5">
        <f>IF(B497=0,0,C497/B497)</f>
        <v/>
      </c>
      <c r="E497">
        <f>IF($A497="","",SUMIFS(Orders_Log!$I:$I,Orders_Log!$C:$C,$A497))</f>
        <v/>
      </c>
      <c r="F497">
        <f>IF(B497=0,0,E497/B497)</f>
        <v/>
      </c>
      <c r="G497">
        <f>IF($A497="","",IFERROR(AVERAGEIFS(Orders_Log!$H:$H,Orders_Log!$C:$C,$A497,Orders_Log!$H:$H,"&gt;0"),0))</f>
        <v/>
      </c>
      <c r="H497">
        <f>IF($A497="","",COUNTIFS(Orders_Log!$C:$C,$A497,Orders_Log!$P:$P,"Returned to Picker"))</f>
        <v/>
      </c>
    </row>
    <row r="498">
      <c r="B498">
        <f>IF($A498="","",COUNTIFS(Orders_Log!$C:$C,$A498,Orders_Log!$B:$B,"&lt;&gt;"))</f>
        <v/>
      </c>
      <c r="C498">
        <f>IF($A498="","",COUNTIFS(Orders_Log!$C:$C,$A498,Orders_Log!$M:$M,"Yes"))</f>
        <v/>
      </c>
      <c r="D498" s="5">
        <f>IF(B498=0,0,C498/B498)</f>
        <v/>
      </c>
      <c r="E498">
        <f>IF($A498="","",SUMIFS(Orders_Log!$I:$I,Orders_Log!$C:$C,$A498))</f>
        <v/>
      </c>
      <c r="F498">
        <f>IF(B498=0,0,E498/B498)</f>
        <v/>
      </c>
      <c r="G498">
        <f>IF($A498="","",IFERROR(AVERAGEIFS(Orders_Log!$H:$H,Orders_Log!$C:$C,$A498,Orders_Log!$H:$H,"&gt;0"),0))</f>
        <v/>
      </c>
      <c r="H498">
        <f>IF($A498="","",COUNTIFS(Orders_Log!$C:$C,$A498,Orders_Log!$P:$P,"Returned to Picker"))</f>
        <v/>
      </c>
    </row>
    <row r="499">
      <c r="B499">
        <f>IF($A499="","",COUNTIFS(Orders_Log!$C:$C,$A499,Orders_Log!$B:$B,"&lt;&gt;"))</f>
        <v/>
      </c>
      <c r="C499">
        <f>IF($A499="","",COUNTIFS(Orders_Log!$C:$C,$A499,Orders_Log!$M:$M,"Yes"))</f>
        <v/>
      </c>
      <c r="D499" s="5">
        <f>IF(B499=0,0,C499/B499)</f>
        <v/>
      </c>
      <c r="E499">
        <f>IF($A499="","",SUMIFS(Orders_Log!$I:$I,Orders_Log!$C:$C,$A499))</f>
        <v/>
      </c>
      <c r="F499">
        <f>IF(B499=0,0,E499/B499)</f>
        <v/>
      </c>
      <c r="G499">
        <f>IF($A499="","",IFERROR(AVERAGEIFS(Orders_Log!$H:$H,Orders_Log!$C:$C,$A499,Orders_Log!$H:$H,"&gt;0"),0))</f>
        <v/>
      </c>
      <c r="H499">
        <f>IF($A499="","",COUNTIFS(Orders_Log!$C:$C,$A499,Orders_Log!$P:$P,"Returned to Picker"))</f>
        <v/>
      </c>
    </row>
    <row r="500">
      <c r="B500">
        <f>IF($A500="","",COUNTIFS(Orders_Log!$C:$C,$A500,Orders_Log!$B:$B,"&lt;&gt;"))</f>
        <v/>
      </c>
      <c r="C500">
        <f>IF($A500="","",COUNTIFS(Orders_Log!$C:$C,$A500,Orders_Log!$M:$M,"Yes"))</f>
        <v/>
      </c>
      <c r="D500" s="5">
        <f>IF(B500=0,0,C500/B500)</f>
        <v/>
      </c>
      <c r="E500">
        <f>IF($A500="","",SUMIFS(Orders_Log!$I:$I,Orders_Log!$C:$C,$A500))</f>
        <v/>
      </c>
      <c r="F500">
        <f>IF(B500=0,0,E500/B500)</f>
        <v/>
      </c>
      <c r="G500">
        <f>IF($A500="","",IFERROR(AVERAGEIFS(Orders_Log!$H:$H,Orders_Log!$C:$C,$A500,Orders_Log!$H:$H,"&gt;0"),0))</f>
        <v/>
      </c>
      <c r="H500">
        <f>IF($A500="","",COUNTIFS(Orders_Log!$C:$C,$A500,Orders_Log!$P:$P,"Returned to Picker"))</f>
        <v/>
      </c>
    </row>
    <row r="501">
      <c r="B501">
        <f>IF($A501="","",COUNTIFS(Orders_Log!$C:$C,$A501,Orders_Log!$B:$B,"&lt;&gt;"))</f>
        <v/>
      </c>
      <c r="C501">
        <f>IF($A501="","",COUNTIFS(Orders_Log!$C:$C,$A501,Orders_Log!$M:$M,"Yes"))</f>
        <v/>
      </c>
      <c r="D501" s="5">
        <f>IF(B501=0,0,C501/B501)</f>
        <v/>
      </c>
      <c r="E501">
        <f>IF($A501="","",SUMIFS(Orders_Log!$I:$I,Orders_Log!$C:$C,$A501))</f>
        <v/>
      </c>
      <c r="F501">
        <f>IF(B501=0,0,E501/B501)</f>
        <v/>
      </c>
      <c r="G501">
        <f>IF($A501="","",IFERROR(AVERAGEIFS(Orders_Log!$H:$H,Orders_Log!$C:$C,$A501,Orders_Log!$H:$H,"&gt;0"),0))</f>
        <v/>
      </c>
      <c r="H501">
        <f>IF($A501="","",COUNTIFS(Orders_Log!$C:$C,$A501,Orders_Log!$P:$P,"Returned to Picker"))</f>
        <v/>
      </c>
    </row>
    <row r="502">
      <c r="B502">
        <f>IF($A502="","",COUNTIFS(Orders_Log!$C:$C,$A502,Orders_Log!$B:$B,"&lt;&gt;"))</f>
        <v/>
      </c>
      <c r="C502">
        <f>IF($A502="","",COUNTIFS(Orders_Log!$C:$C,$A502,Orders_Log!$M:$M,"Yes"))</f>
        <v/>
      </c>
      <c r="D502" s="5">
        <f>IF(B502=0,0,C502/B502)</f>
        <v/>
      </c>
      <c r="E502">
        <f>IF($A502="","",SUMIFS(Orders_Log!$I:$I,Orders_Log!$C:$C,$A502))</f>
        <v/>
      </c>
      <c r="F502">
        <f>IF(B502=0,0,E502/B502)</f>
        <v/>
      </c>
      <c r="G502">
        <f>IF($A502="","",IFERROR(AVERAGEIFS(Orders_Log!$H:$H,Orders_Log!$C:$C,$A502,Orders_Log!$H:$H,"&gt;0"),0))</f>
        <v/>
      </c>
      <c r="H502">
        <f>IF($A502="","",COUNTIFS(Orders_Log!$C:$C,$A502,Orders_Log!$P:$P,"Returned to Picker"))</f>
        <v/>
      </c>
    </row>
    <row r="503">
      <c r="B503">
        <f>IF($A503="","",COUNTIFS(Orders_Log!$C:$C,$A503,Orders_Log!$B:$B,"&lt;&gt;"))</f>
        <v/>
      </c>
      <c r="C503">
        <f>IF($A503="","",COUNTIFS(Orders_Log!$C:$C,$A503,Orders_Log!$M:$M,"Yes"))</f>
        <v/>
      </c>
      <c r="D503" s="5">
        <f>IF(B503=0,0,C503/B503)</f>
        <v/>
      </c>
      <c r="E503">
        <f>IF($A503="","",SUMIFS(Orders_Log!$I:$I,Orders_Log!$C:$C,$A503))</f>
        <v/>
      </c>
      <c r="F503">
        <f>IF(B503=0,0,E503/B503)</f>
        <v/>
      </c>
      <c r="G503">
        <f>IF($A503="","",IFERROR(AVERAGEIFS(Orders_Log!$H:$H,Orders_Log!$C:$C,$A503,Orders_Log!$H:$H,"&gt;0"),0))</f>
        <v/>
      </c>
      <c r="H503">
        <f>IF($A503="","",COUNTIFS(Orders_Log!$C:$C,$A503,Orders_Log!$P:$P,"Returned to Picker"))</f>
        <v/>
      </c>
    </row>
    <row r="504">
      <c r="B504">
        <f>IF($A504="","",COUNTIFS(Orders_Log!$C:$C,$A504,Orders_Log!$B:$B,"&lt;&gt;"))</f>
        <v/>
      </c>
      <c r="C504">
        <f>IF($A504="","",COUNTIFS(Orders_Log!$C:$C,$A504,Orders_Log!$M:$M,"Yes"))</f>
        <v/>
      </c>
      <c r="D504" s="5">
        <f>IF(B504=0,0,C504/B504)</f>
        <v/>
      </c>
      <c r="E504">
        <f>IF($A504="","",SUMIFS(Orders_Log!$I:$I,Orders_Log!$C:$C,$A504))</f>
        <v/>
      </c>
      <c r="F504">
        <f>IF(B504=0,0,E504/B504)</f>
        <v/>
      </c>
      <c r="G504">
        <f>IF($A504="","",IFERROR(AVERAGEIFS(Orders_Log!$H:$H,Orders_Log!$C:$C,$A504,Orders_Log!$H:$H,"&gt;0"),0))</f>
        <v/>
      </c>
      <c r="H504">
        <f>IF($A504="","",COUNTIFS(Orders_Log!$C:$C,$A504,Orders_Log!$P:$P,"Returned to Picker"))</f>
        <v/>
      </c>
    </row>
    <row r="505">
      <c r="B505">
        <f>IF($A505="","",COUNTIFS(Orders_Log!$C:$C,$A505,Orders_Log!$B:$B,"&lt;&gt;"))</f>
        <v/>
      </c>
      <c r="C505">
        <f>IF($A505="","",COUNTIFS(Orders_Log!$C:$C,$A505,Orders_Log!$M:$M,"Yes"))</f>
        <v/>
      </c>
      <c r="D505" s="5">
        <f>IF(B505=0,0,C505/B505)</f>
        <v/>
      </c>
      <c r="E505">
        <f>IF($A505="","",SUMIFS(Orders_Log!$I:$I,Orders_Log!$C:$C,$A505))</f>
        <v/>
      </c>
      <c r="F505">
        <f>IF(B505=0,0,E505/B505)</f>
        <v/>
      </c>
      <c r="G505">
        <f>IF($A505="","",IFERROR(AVERAGEIFS(Orders_Log!$H:$H,Orders_Log!$C:$C,$A505,Orders_Log!$H:$H,"&gt;0"),0))</f>
        <v/>
      </c>
      <c r="H505">
        <f>IF($A505="","",COUNTIFS(Orders_Log!$C:$C,$A505,Orders_Log!$P:$P,"Returned to Picker"))</f>
        <v/>
      </c>
    </row>
    <row r="506">
      <c r="B506">
        <f>IF($A506="","",COUNTIFS(Orders_Log!$C:$C,$A506,Orders_Log!$B:$B,"&lt;&gt;"))</f>
        <v/>
      </c>
      <c r="C506">
        <f>IF($A506="","",COUNTIFS(Orders_Log!$C:$C,$A506,Orders_Log!$M:$M,"Yes"))</f>
        <v/>
      </c>
      <c r="D506" s="5">
        <f>IF(B506=0,0,C506/B506)</f>
        <v/>
      </c>
      <c r="E506">
        <f>IF($A506="","",SUMIFS(Orders_Log!$I:$I,Orders_Log!$C:$C,$A506))</f>
        <v/>
      </c>
      <c r="F506">
        <f>IF(B506=0,0,E506/B506)</f>
        <v/>
      </c>
      <c r="G506">
        <f>IF($A506="","",IFERROR(AVERAGEIFS(Orders_Log!$H:$H,Orders_Log!$C:$C,$A506,Orders_Log!$H:$H,"&gt;0"),0))</f>
        <v/>
      </c>
      <c r="H506">
        <f>IF($A506="","",COUNTIFS(Orders_Log!$C:$C,$A506,Orders_Log!$P:$P,"Returned to Picker"))</f>
        <v/>
      </c>
    </row>
    <row r="507">
      <c r="B507">
        <f>IF($A507="","",COUNTIFS(Orders_Log!$C:$C,$A507,Orders_Log!$B:$B,"&lt;&gt;"))</f>
        <v/>
      </c>
      <c r="C507">
        <f>IF($A507="","",COUNTIFS(Orders_Log!$C:$C,$A507,Orders_Log!$M:$M,"Yes"))</f>
        <v/>
      </c>
      <c r="D507" s="5">
        <f>IF(B507=0,0,C507/B507)</f>
        <v/>
      </c>
      <c r="E507">
        <f>IF($A507="","",SUMIFS(Orders_Log!$I:$I,Orders_Log!$C:$C,$A507))</f>
        <v/>
      </c>
      <c r="F507">
        <f>IF(B507=0,0,E507/B507)</f>
        <v/>
      </c>
      <c r="G507">
        <f>IF($A507="","",IFERROR(AVERAGEIFS(Orders_Log!$H:$H,Orders_Log!$C:$C,$A507,Orders_Log!$H:$H,"&gt;0"),0))</f>
        <v/>
      </c>
      <c r="H507">
        <f>IF($A507="","",COUNTIFS(Orders_Log!$C:$C,$A507,Orders_Log!$P:$P,"Returned to Picker"))</f>
        <v/>
      </c>
    </row>
    <row r="508">
      <c r="B508">
        <f>IF($A508="","",COUNTIFS(Orders_Log!$C:$C,$A508,Orders_Log!$B:$B,"&lt;&gt;"))</f>
        <v/>
      </c>
      <c r="C508">
        <f>IF($A508="","",COUNTIFS(Orders_Log!$C:$C,$A508,Orders_Log!$M:$M,"Yes"))</f>
        <v/>
      </c>
      <c r="D508" s="5">
        <f>IF(B508=0,0,C508/B508)</f>
        <v/>
      </c>
      <c r="E508">
        <f>IF($A508="","",SUMIFS(Orders_Log!$I:$I,Orders_Log!$C:$C,$A508))</f>
        <v/>
      </c>
      <c r="F508">
        <f>IF(B508=0,0,E508/B508)</f>
        <v/>
      </c>
      <c r="G508">
        <f>IF($A508="","",IFERROR(AVERAGEIFS(Orders_Log!$H:$H,Orders_Log!$C:$C,$A508,Orders_Log!$H:$H,"&gt;0"),0))</f>
        <v/>
      </c>
      <c r="H508">
        <f>IF($A508="","",COUNTIFS(Orders_Log!$C:$C,$A508,Orders_Log!$P:$P,"Returned to Picker"))</f>
        <v/>
      </c>
    </row>
    <row r="509">
      <c r="B509">
        <f>IF($A509="","",COUNTIFS(Orders_Log!$C:$C,$A509,Orders_Log!$B:$B,"&lt;&gt;"))</f>
        <v/>
      </c>
      <c r="C509">
        <f>IF($A509="","",COUNTIFS(Orders_Log!$C:$C,$A509,Orders_Log!$M:$M,"Yes"))</f>
        <v/>
      </c>
      <c r="D509" s="5">
        <f>IF(B509=0,0,C509/B509)</f>
        <v/>
      </c>
      <c r="E509">
        <f>IF($A509="","",SUMIFS(Orders_Log!$I:$I,Orders_Log!$C:$C,$A509))</f>
        <v/>
      </c>
      <c r="F509">
        <f>IF(B509=0,0,E509/B509)</f>
        <v/>
      </c>
      <c r="G509">
        <f>IF($A509="","",IFERROR(AVERAGEIFS(Orders_Log!$H:$H,Orders_Log!$C:$C,$A509,Orders_Log!$H:$H,"&gt;0"),0))</f>
        <v/>
      </c>
      <c r="H509">
        <f>IF($A509="","",COUNTIFS(Orders_Log!$C:$C,$A509,Orders_Log!$P:$P,"Returned to Picker"))</f>
        <v/>
      </c>
    </row>
    <row r="510">
      <c r="B510">
        <f>IF($A510="","",COUNTIFS(Orders_Log!$C:$C,$A510,Orders_Log!$B:$B,"&lt;&gt;"))</f>
        <v/>
      </c>
      <c r="C510">
        <f>IF($A510="","",COUNTIFS(Orders_Log!$C:$C,$A510,Orders_Log!$M:$M,"Yes"))</f>
        <v/>
      </c>
      <c r="D510" s="5">
        <f>IF(B510=0,0,C510/B510)</f>
        <v/>
      </c>
      <c r="E510">
        <f>IF($A510="","",SUMIFS(Orders_Log!$I:$I,Orders_Log!$C:$C,$A510))</f>
        <v/>
      </c>
      <c r="F510">
        <f>IF(B510=0,0,E510/B510)</f>
        <v/>
      </c>
      <c r="G510">
        <f>IF($A510="","",IFERROR(AVERAGEIFS(Orders_Log!$H:$H,Orders_Log!$C:$C,$A510,Orders_Log!$H:$H,"&gt;0"),0))</f>
        <v/>
      </c>
      <c r="H510">
        <f>IF($A510="","",COUNTIFS(Orders_Log!$C:$C,$A510,Orders_Log!$P:$P,"Returned to Picker"))</f>
        <v/>
      </c>
    </row>
    <row r="511">
      <c r="B511">
        <f>IF($A511="","",COUNTIFS(Orders_Log!$C:$C,$A511,Orders_Log!$B:$B,"&lt;&gt;"))</f>
        <v/>
      </c>
      <c r="C511">
        <f>IF($A511="","",COUNTIFS(Orders_Log!$C:$C,$A511,Orders_Log!$M:$M,"Yes"))</f>
        <v/>
      </c>
      <c r="D511" s="5">
        <f>IF(B511=0,0,C511/B511)</f>
        <v/>
      </c>
      <c r="E511">
        <f>IF($A511="","",SUMIFS(Orders_Log!$I:$I,Orders_Log!$C:$C,$A511))</f>
        <v/>
      </c>
      <c r="F511">
        <f>IF(B511=0,0,E511/B511)</f>
        <v/>
      </c>
      <c r="G511">
        <f>IF($A511="","",IFERROR(AVERAGEIFS(Orders_Log!$H:$H,Orders_Log!$C:$C,$A511,Orders_Log!$H:$H,"&gt;0"),0))</f>
        <v/>
      </c>
      <c r="H511">
        <f>IF($A511="","",COUNTIFS(Orders_Log!$C:$C,$A511,Orders_Log!$P:$P,"Returned to Picker"))</f>
        <v/>
      </c>
    </row>
    <row r="512">
      <c r="B512">
        <f>IF($A512="","",COUNTIFS(Orders_Log!$C:$C,$A512,Orders_Log!$B:$B,"&lt;&gt;"))</f>
        <v/>
      </c>
      <c r="C512">
        <f>IF($A512="","",COUNTIFS(Orders_Log!$C:$C,$A512,Orders_Log!$M:$M,"Yes"))</f>
        <v/>
      </c>
      <c r="D512" s="5">
        <f>IF(B512=0,0,C512/B512)</f>
        <v/>
      </c>
      <c r="E512">
        <f>IF($A512="","",SUMIFS(Orders_Log!$I:$I,Orders_Log!$C:$C,$A512))</f>
        <v/>
      </c>
      <c r="F512">
        <f>IF(B512=0,0,E512/B512)</f>
        <v/>
      </c>
      <c r="G512">
        <f>IF($A512="","",IFERROR(AVERAGEIFS(Orders_Log!$H:$H,Orders_Log!$C:$C,$A512,Orders_Log!$H:$H,"&gt;0"),0))</f>
        <v/>
      </c>
      <c r="H512">
        <f>IF($A512="","",COUNTIFS(Orders_Log!$C:$C,$A512,Orders_Log!$P:$P,"Returned to Picker"))</f>
        <v/>
      </c>
    </row>
    <row r="513">
      <c r="B513">
        <f>IF($A513="","",COUNTIFS(Orders_Log!$C:$C,$A513,Orders_Log!$B:$B,"&lt;&gt;"))</f>
        <v/>
      </c>
      <c r="C513">
        <f>IF($A513="","",COUNTIFS(Orders_Log!$C:$C,$A513,Orders_Log!$M:$M,"Yes"))</f>
        <v/>
      </c>
      <c r="D513" s="5">
        <f>IF(B513=0,0,C513/B513)</f>
        <v/>
      </c>
      <c r="E513">
        <f>IF($A513="","",SUMIFS(Orders_Log!$I:$I,Orders_Log!$C:$C,$A513))</f>
        <v/>
      </c>
      <c r="F513">
        <f>IF(B513=0,0,E513/B513)</f>
        <v/>
      </c>
      <c r="G513">
        <f>IF($A513="","",IFERROR(AVERAGEIFS(Orders_Log!$H:$H,Orders_Log!$C:$C,$A513,Orders_Log!$H:$H,"&gt;0"),0))</f>
        <v/>
      </c>
      <c r="H513">
        <f>IF($A513="","",COUNTIFS(Orders_Log!$C:$C,$A513,Orders_Log!$P:$P,"Returned to Picker"))</f>
        <v/>
      </c>
    </row>
    <row r="514">
      <c r="B514">
        <f>IF($A514="","",COUNTIFS(Orders_Log!$C:$C,$A514,Orders_Log!$B:$B,"&lt;&gt;"))</f>
        <v/>
      </c>
      <c r="C514">
        <f>IF($A514="","",COUNTIFS(Orders_Log!$C:$C,$A514,Orders_Log!$M:$M,"Yes"))</f>
        <v/>
      </c>
      <c r="D514" s="5">
        <f>IF(B514=0,0,C514/B514)</f>
        <v/>
      </c>
      <c r="E514">
        <f>IF($A514="","",SUMIFS(Orders_Log!$I:$I,Orders_Log!$C:$C,$A514))</f>
        <v/>
      </c>
      <c r="F514">
        <f>IF(B514=0,0,E514/B514)</f>
        <v/>
      </c>
      <c r="G514">
        <f>IF($A514="","",IFERROR(AVERAGEIFS(Orders_Log!$H:$H,Orders_Log!$C:$C,$A514,Orders_Log!$H:$H,"&gt;0"),0))</f>
        <v/>
      </c>
      <c r="H514">
        <f>IF($A514="","",COUNTIFS(Orders_Log!$C:$C,$A514,Orders_Log!$P:$P,"Returned to Picker"))</f>
        <v/>
      </c>
    </row>
    <row r="515">
      <c r="B515">
        <f>IF($A515="","",COUNTIFS(Orders_Log!$C:$C,$A515,Orders_Log!$B:$B,"&lt;&gt;"))</f>
        <v/>
      </c>
      <c r="C515">
        <f>IF($A515="","",COUNTIFS(Orders_Log!$C:$C,$A515,Orders_Log!$M:$M,"Yes"))</f>
        <v/>
      </c>
      <c r="D515" s="5">
        <f>IF(B515=0,0,C515/B515)</f>
        <v/>
      </c>
      <c r="E515">
        <f>IF($A515="","",SUMIFS(Orders_Log!$I:$I,Orders_Log!$C:$C,$A515))</f>
        <v/>
      </c>
      <c r="F515">
        <f>IF(B515=0,0,E515/B515)</f>
        <v/>
      </c>
      <c r="G515">
        <f>IF($A515="","",IFERROR(AVERAGEIFS(Orders_Log!$H:$H,Orders_Log!$C:$C,$A515,Orders_Log!$H:$H,"&gt;0"),0))</f>
        <v/>
      </c>
      <c r="H515">
        <f>IF($A515="","",COUNTIFS(Orders_Log!$C:$C,$A515,Orders_Log!$P:$P,"Returned to Picker"))</f>
        <v/>
      </c>
    </row>
    <row r="516">
      <c r="B516">
        <f>IF($A516="","",COUNTIFS(Orders_Log!$C:$C,$A516,Orders_Log!$B:$B,"&lt;&gt;"))</f>
        <v/>
      </c>
      <c r="C516">
        <f>IF($A516="","",COUNTIFS(Orders_Log!$C:$C,$A516,Orders_Log!$M:$M,"Yes"))</f>
        <v/>
      </c>
      <c r="D516" s="5">
        <f>IF(B516=0,0,C516/B516)</f>
        <v/>
      </c>
      <c r="E516">
        <f>IF($A516="","",SUMIFS(Orders_Log!$I:$I,Orders_Log!$C:$C,$A516))</f>
        <v/>
      </c>
      <c r="F516">
        <f>IF(B516=0,0,E516/B516)</f>
        <v/>
      </c>
      <c r="G516">
        <f>IF($A516="","",IFERROR(AVERAGEIFS(Orders_Log!$H:$H,Orders_Log!$C:$C,$A516,Orders_Log!$H:$H,"&gt;0"),0))</f>
        <v/>
      </c>
      <c r="H516">
        <f>IF($A516="","",COUNTIFS(Orders_Log!$C:$C,$A516,Orders_Log!$P:$P,"Returned to Picker"))</f>
        <v/>
      </c>
    </row>
    <row r="517">
      <c r="B517">
        <f>IF($A517="","",COUNTIFS(Orders_Log!$C:$C,$A517,Orders_Log!$B:$B,"&lt;&gt;"))</f>
        <v/>
      </c>
      <c r="C517">
        <f>IF($A517="","",COUNTIFS(Orders_Log!$C:$C,$A517,Orders_Log!$M:$M,"Yes"))</f>
        <v/>
      </c>
      <c r="D517" s="5">
        <f>IF(B517=0,0,C517/B517)</f>
        <v/>
      </c>
      <c r="E517">
        <f>IF($A517="","",SUMIFS(Orders_Log!$I:$I,Orders_Log!$C:$C,$A517))</f>
        <v/>
      </c>
      <c r="F517">
        <f>IF(B517=0,0,E517/B517)</f>
        <v/>
      </c>
      <c r="G517">
        <f>IF($A517="","",IFERROR(AVERAGEIFS(Orders_Log!$H:$H,Orders_Log!$C:$C,$A517,Orders_Log!$H:$H,"&gt;0"),0))</f>
        <v/>
      </c>
      <c r="H517">
        <f>IF($A517="","",COUNTIFS(Orders_Log!$C:$C,$A517,Orders_Log!$P:$P,"Returned to Picker"))</f>
        <v/>
      </c>
    </row>
    <row r="518">
      <c r="B518">
        <f>IF($A518="","",COUNTIFS(Orders_Log!$C:$C,$A518,Orders_Log!$B:$B,"&lt;&gt;"))</f>
        <v/>
      </c>
      <c r="C518">
        <f>IF($A518="","",COUNTIFS(Orders_Log!$C:$C,$A518,Orders_Log!$M:$M,"Yes"))</f>
        <v/>
      </c>
      <c r="D518" s="5">
        <f>IF(B518=0,0,C518/B518)</f>
        <v/>
      </c>
      <c r="E518">
        <f>IF($A518="","",SUMIFS(Orders_Log!$I:$I,Orders_Log!$C:$C,$A518))</f>
        <v/>
      </c>
      <c r="F518">
        <f>IF(B518=0,0,E518/B518)</f>
        <v/>
      </c>
      <c r="G518">
        <f>IF($A518="","",IFERROR(AVERAGEIFS(Orders_Log!$H:$H,Orders_Log!$C:$C,$A518,Orders_Log!$H:$H,"&gt;0"),0))</f>
        <v/>
      </c>
      <c r="H518">
        <f>IF($A518="","",COUNTIFS(Orders_Log!$C:$C,$A518,Orders_Log!$P:$P,"Returned to Picker"))</f>
        <v/>
      </c>
    </row>
    <row r="519">
      <c r="B519">
        <f>IF($A519="","",COUNTIFS(Orders_Log!$C:$C,$A519,Orders_Log!$B:$B,"&lt;&gt;"))</f>
        <v/>
      </c>
      <c r="C519">
        <f>IF($A519="","",COUNTIFS(Orders_Log!$C:$C,$A519,Orders_Log!$M:$M,"Yes"))</f>
        <v/>
      </c>
      <c r="D519" s="5">
        <f>IF(B519=0,0,C519/B519)</f>
        <v/>
      </c>
      <c r="E519">
        <f>IF($A519="","",SUMIFS(Orders_Log!$I:$I,Orders_Log!$C:$C,$A519))</f>
        <v/>
      </c>
      <c r="F519">
        <f>IF(B519=0,0,E519/B519)</f>
        <v/>
      </c>
      <c r="G519">
        <f>IF($A519="","",IFERROR(AVERAGEIFS(Orders_Log!$H:$H,Orders_Log!$C:$C,$A519,Orders_Log!$H:$H,"&gt;0"),0))</f>
        <v/>
      </c>
      <c r="H519">
        <f>IF($A519="","",COUNTIFS(Orders_Log!$C:$C,$A519,Orders_Log!$P:$P,"Returned to Picker"))</f>
        <v/>
      </c>
    </row>
    <row r="520">
      <c r="B520">
        <f>IF($A520="","",COUNTIFS(Orders_Log!$C:$C,$A520,Orders_Log!$B:$B,"&lt;&gt;"))</f>
        <v/>
      </c>
      <c r="C520">
        <f>IF($A520="","",COUNTIFS(Orders_Log!$C:$C,$A520,Orders_Log!$M:$M,"Yes"))</f>
        <v/>
      </c>
      <c r="D520" s="5">
        <f>IF(B520=0,0,C520/B520)</f>
        <v/>
      </c>
      <c r="E520">
        <f>IF($A520="","",SUMIFS(Orders_Log!$I:$I,Orders_Log!$C:$C,$A520))</f>
        <v/>
      </c>
      <c r="F520">
        <f>IF(B520=0,0,E520/B520)</f>
        <v/>
      </c>
      <c r="G520">
        <f>IF($A520="","",IFERROR(AVERAGEIFS(Orders_Log!$H:$H,Orders_Log!$C:$C,$A520,Orders_Log!$H:$H,"&gt;0"),0))</f>
        <v/>
      </c>
      <c r="H520">
        <f>IF($A520="","",COUNTIFS(Orders_Log!$C:$C,$A520,Orders_Log!$P:$P,"Returned to Picker"))</f>
        <v/>
      </c>
    </row>
    <row r="521">
      <c r="B521">
        <f>IF($A521="","",COUNTIFS(Orders_Log!$C:$C,$A521,Orders_Log!$B:$B,"&lt;&gt;"))</f>
        <v/>
      </c>
      <c r="C521">
        <f>IF($A521="","",COUNTIFS(Orders_Log!$C:$C,$A521,Orders_Log!$M:$M,"Yes"))</f>
        <v/>
      </c>
      <c r="D521" s="5">
        <f>IF(B521=0,0,C521/B521)</f>
        <v/>
      </c>
      <c r="E521">
        <f>IF($A521="","",SUMIFS(Orders_Log!$I:$I,Orders_Log!$C:$C,$A521))</f>
        <v/>
      </c>
      <c r="F521">
        <f>IF(B521=0,0,E521/B521)</f>
        <v/>
      </c>
      <c r="G521">
        <f>IF($A521="","",IFERROR(AVERAGEIFS(Orders_Log!$H:$H,Orders_Log!$C:$C,$A521,Orders_Log!$H:$H,"&gt;0"),0))</f>
        <v/>
      </c>
      <c r="H521">
        <f>IF($A521="","",COUNTIFS(Orders_Log!$C:$C,$A521,Orders_Log!$P:$P,"Returned to Picker"))</f>
        <v/>
      </c>
    </row>
    <row r="522">
      <c r="B522">
        <f>IF($A522="","",COUNTIFS(Orders_Log!$C:$C,$A522,Orders_Log!$B:$B,"&lt;&gt;"))</f>
        <v/>
      </c>
      <c r="C522">
        <f>IF($A522="","",COUNTIFS(Orders_Log!$C:$C,$A522,Orders_Log!$M:$M,"Yes"))</f>
        <v/>
      </c>
      <c r="D522" s="5">
        <f>IF(B522=0,0,C522/B522)</f>
        <v/>
      </c>
      <c r="E522">
        <f>IF($A522="","",SUMIFS(Orders_Log!$I:$I,Orders_Log!$C:$C,$A522))</f>
        <v/>
      </c>
      <c r="F522">
        <f>IF(B522=0,0,E522/B522)</f>
        <v/>
      </c>
      <c r="G522">
        <f>IF($A522="","",IFERROR(AVERAGEIFS(Orders_Log!$H:$H,Orders_Log!$C:$C,$A522,Orders_Log!$H:$H,"&gt;0"),0))</f>
        <v/>
      </c>
      <c r="H522">
        <f>IF($A522="","",COUNTIFS(Orders_Log!$C:$C,$A522,Orders_Log!$P:$P,"Returned to Picker"))</f>
        <v/>
      </c>
    </row>
    <row r="523">
      <c r="B523">
        <f>IF($A523="","",COUNTIFS(Orders_Log!$C:$C,$A523,Orders_Log!$B:$B,"&lt;&gt;"))</f>
        <v/>
      </c>
      <c r="C523">
        <f>IF($A523="","",COUNTIFS(Orders_Log!$C:$C,$A523,Orders_Log!$M:$M,"Yes"))</f>
        <v/>
      </c>
      <c r="D523" s="5">
        <f>IF(B523=0,0,C523/B523)</f>
        <v/>
      </c>
      <c r="E523">
        <f>IF($A523="","",SUMIFS(Orders_Log!$I:$I,Orders_Log!$C:$C,$A523))</f>
        <v/>
      </c>
      <c r="F523">
        <f>IF(B523=0,0,E523/B523)</f>
        <v/>
      </c>
      <c r="G523">
        <f>IF($A523="","",IFERROR(AVERAGEIFS(Orders_Log!$H:$H,Orders_Log!$C:$C,$A523,Orders_Log!$H:$H,"&gt;0"),0))</f>
        <v/>
      </c>
      <c r="H523">
        <f>IF($A523="","",COUNTIFS(Orders_Log!$C:$C,$A523,Orders_Log!$P:$P,"Returned to Picker"))</f>
        <v/>
      </c>
    </row>
    <row r="524">
      <c r="B524">
        <f>IF($A524="","",COUNTIFS(Orders_Log!$C:$C,$A524,Orders_Log!$B:$B,"&lt;&gt;"))</f>
        <v/>
      </c>
      <c r="C524">
        <f>IF($A524="","",COUNTIFS(Orders_Log!$C:$C,$A524,Orders_Log!$M:$M,"Yes"))</f>
        <v/>
      </c>
      <c r="D524" s="5">
        <f>IF(B524=0,0,C524/B524)</f>
        <v/>
      </c>
      <c r="E524">
        <f>IF($A524="","",SUMIFS(Orders_Log!$I:$I,Orders_Log!$C:$C,$A524))</f>
        <v/>
      </c>
      <c r="F524">
        <f>IF(B524=0,0,E524/B524)</f>
        <v/>
      </c>
      <c r="G524">
        <f>IF($A524="","",IFERROR(AVERAGEIFS(Orders_Log!$H:$H,Orders_Log!$C:$C,$A524,Orders_Log!$H:$H,"&gt;0"),0))</f>
        <v/>
      </c>
      <c r="H524">
        <f>IF($A524="","",COUNTIFS(Orders_Log!$C:$C,$A524,Orders_Log!$P:$P,"Returned to Picker"))</f>
        <v/>
      </c>
    </row>
    <row r="525">
      <c r="B525">
        <f>IF($A525="","",COUNTIFS(Orders_Log!$C:$C,$A525,Orders_Log!$B:$B,"&lt;&gt;"))</f>
        <v/>
      </c>
      <c r="C525">
        <f>IF($A525="","",COUNTIFS(Orders_Log!$C:$C,$A525,Orders_Log!$M:$M,"Yes"))</f>
        <v/>
      </c>
      <c r="D525" s="5">
        <f>IF(B525=0,0,C525/B525)</f>
        <v/>
      </c>
      <c r="E525">
        <f>IF($A525="","",SUMIFS(Orders_Log!$I:$I,Orders_Log!$C:$C,$A525))</f>
        <v/>
      </c>
      <c r="F525">
        <f>IF(B525=0,0,E525/B525)</f>
        <v/>
      </c>
      <c r="G525">
        <f>IF($A525="","",IFERROR(AVERAGEIFS(Orders_Log!$H:$H,Orders_Log!$C:$C,$A525,Orders_Log!$H:$H,"&gt;0"),0))</f>
        <v/>
      </c>
      <c r="H525">
        <f>IF($A525="","",COUNTIFS(Orders_Log!$C:$C,$A525,Orders_Log!$P:$P,"Returned to Picker"))</f>
        <v/>
      </c>
    </row>
    <row r="526">
      <c r="B526">
        <f>IF($A526="","",COUNTIFS(Orders_Log!$C:$C,$A526,Orders_Log!$B:$B,"&lt;&gt;"))</f>
        <v/>
      </c>
      <c r="C526">
        <f>IF($A526="","",COUNTIFS(Orders_Log!$C:$C,$A526,Orders_Log!$M:$M,"Yes"))</f>
        <v/>
      </c>
      <c r="D526" s="5">
        <f>IF(B526=0,0,C526/B526)</f>
        <v/>
      </c>
      <c r="E526">
        <f>IF($A526="","",SUMIFS(Orders_Log!$I:$I,Orders_Log!$C:$C,$A526))</f>
        <v/>
      </c>
      <c r="F526">
        <f>IF(B526=0,0,E526/B526)</f>
        <v/>
      </c>
      <c r="G526">
        <f>IF($A526="","",IFERROR(AVERAGEIFS(Orders_Log!$H:$H,Orders_Log!$C:$C,$A526,Orders_Log!$H:$H,"&gt;0"),0))</f>
        <v/>
      </c>
      <c r="H526">
        <f>IF($A526="","",COUNTIFS(Orders_Log!$C:$C,$A526,Orders_Log!$P:$P,"Returned to Picker"))</f>
        <v/>
      </c>
    </row>
    <row r="527">
      <c r="B527">
        <f>IF($A527="","",COUNTIFS(Orders_Log!$C:$C,$A527,Orders_Log!$B:$B,"&lt;&gt;"))</f>
        <v/>
      </c>
      <c r="C527">
        <f>IF($A527="","",COUNTIFS(Orders_Log!$C:$C,$A527,Orders_Log!$M:$M,"Yes"))</f>
        <v/>
      </c>
      <c r="D527" s="5">
        <f>IF(B527=0,0,C527/B527)</f>
        <v/>
      </c>
      <c r="E527">
        <f>IF($A527="","",SUMIFS(Orders_Log!$I:$I,Orders_Log!$C:$C,$A527))</f>
        <v/>
      </c>
      <c r="F527">
        <f>IF(B527=0,0,E527/B527)</f>
        <v/>
      </c>
      <c r="G527">
        <f>IF($A527="","",IFERROR(AVERAGEIFS(Orders_Log!$H:$H,Orders_Log!$C:$C,$A527,Orders_Log!$H:$H,"&gt;0"),0))</f>
        <v/>
      </c>
      <c r="H527">
        <f>IF($A527="","",COUNTIFS(Orders_Log!$C:$C,$A527,Orders_Log!$P:$P,"Returned to Picker"))</f>
        <v/>
      </c>
    </row>
    <row r="528">
      <c r="B528">
        <f>IF($A528="","",COUNTIFS(Orders_Log!$C:$C,$A528,Orders_Log!$B:$B,"&lt;&gt;"))</f>
        <v/>
      </c>
      <c r="C528">
        <f>IF($A528="","",COUNTIFS(Orders_Log!$C:$C,$A528,Orders_Log!$M:$M,"Yes"))</f>
        <v/>
      </c>
      <c r="D528" s="5">
        <f>IF(B528=0,0,C528/B528)</f>
        <v/>
      </c>
      <c r="E528">
        <f>IF($A528="","",SUMIFS(Orders_Log!$I:$I,Orders_Log!$C:$C,$A528))</f>
        <v/>
      </c>
      <c r="F528">
        <f>IF(B528=0,0,E528/B528)</f>
        <v/>
      </c>
      <c r="G528">
        <f>IF($A528="","",IFERROR(AVERAGEIFS(Orders_Log!$H:$H,Orders_Log!$C:$C,$A528,Orders_Log!$H:$H,"&gt;0"),0))</f>
        <v/>
      </c>
      <c r="H528">
        <f>IF($A528="","",COUNTIFS(Orders_Log!$C:$C,$A528,Orders_Log!$P:$P,"Returned to Picker"))</f>
        <v/>
      </c>
    </row>
    <row r="529">
      <c r="B529">
        <f>IF($A529="","",COUNTIFS(Orders_Log!$C:$C,$A529,Orders_Log!$B:$B,"&lt;&gt;"))</f>
        <v/>
      </c>
      <c r="C529">
        <f>IF($A529="","",COUNTIFS(Orders_Log!$C:$C,$A529,Orders_Log!$M:$M,"Yes"))</f>
        <v/>
      </c>
      <c r="D529" s="5">
        <f>IF(B529=0,0,C529/B529)</f>
        <v/>
      </c>
      <c r="E529">
        <f>IF($A529="","",SUMIFS(Orders_Log!$I:$I,Orders_Log!$C:$C,$A529))</f>
        <v/>
      </c>
      <c r="F529">
        <f>IF(B529=0,0,E529/B529)</f>
        <v/>
      </c>
      <c r="G529">
        <f>IF($A529="","",IFERROR(AVERAGEIFS(Orders_Log!$H:$H,Orders_Log!$C:$C,$A529,Orders_Log!$H:$H,"&gt;0"),0))</f>
        <v/>
      </c>
      <c r="H529">
        <f>IF($A529="","",COUNTIFS(Orders_Log!$C:$C,$A529,Orders_Log!$P:$P,"Returned to Picker"))</f>
        <v/>
      </c>
    </row>
    <row r="530">
      <c r="B530">
        <f>IF($A530="","",COUNTIFS(Orders_Log!$C:$C,$A530,Orders_Log!$B:$B,"&lt;&gt;"))</f>
        <v/>
      </c>
      <c r="C530">
        <f>IF($A530="","",COUNTIFS(Orders_Log!$C:$C,$A530,Orders_Log!$M:$M,"Yes"))</f>
        <v/>
      </c>
      <c r="D530" s="5">
        <f>IF(B530=0,0,C530/B530)</f>
        <v/>
      </c>
      <c r="E530">
        <f>IF($A530="","",SUMIFS(Orders_Log!$I:$I,Orders_Log!$C:$C,$A530))</f>
        <v/>
      </c>
      <c r="F530">
        <f>IF(B530=0,0,E530/B530)</f>
        <v/>
      </c>
      <c r="G530">
        <f>IF($A530="","",IFERROR(AVERAGEIFS(Orders_Log!$H:$H,Orders_Log!$C:$C,$A530,Orders_Log!$H:$H,"&gt;0"),0))</f>
        <v/>
      </c>
      <c r="H530">
        <f>IF($A530="","",COUNTIFS(Orders_Log!$C:$C,$A530,Orders_Log!$P:$P,"Returned to Picker"))</f>
        <v/>
      </c>
    </row>
    <row r="531">
      <c r="B531">
        <f>IF($A531="","",COUNTIFS(Orders_Log!$C:$C,$A531,Orders_Log!$B:$B,"&lt;&gt;"))</f>
        <v/>
      </c>
      <c r="C531">
        <f>IF($A531="","",COUNTIFS(Orders_Log!$C:$C,$A531,Orders_Log!$M:$M,"Yes"))</f>
        <v/>
      </c>
      <c r="D531" s="5">
        <f>IF(B531=0,0,C531/B531)</f>
        <v/>
      </c>
      <c r="E531">
        <f>IF($A531="","",SUMIFS(Orders_Log!$I:$I,Orders_Log!$C:$C,$A531))</f>
        <v/>
      </c>
      <c r="F531">
        <f>IF(B531=0,0,E531/B531)</f>
        <v/>
      </c>
      <c r="G531">
        <f>IF($A531="","",IFERROR(AVERAGEIFS(Orders_Log!$H:$H,Orders_Log!$C:$C,$A531,Orders_Log!$H:$H,"&gt;0"),0))</f>
        <v/>
      </c>
      <c r="H531">
        <f>IF($A531="","",COUNTIFS(Orders_Log!$C:$C,$A531,Orders_Log!$P:$P,"Returned to Picker"))</f>
        <v/>
      </c>
    </row>
    <row r="532">
      <c r="B532">
        <f>IF($A532="","",COUNTIFS(Orders_Log!$C:$C,$A532,Orders_Log!$B:$B,"&lt;&gt;"))</f>
        <v/>
      </c>
      <c r="C532">
        <f>IF($A532="","",COUNTIFS(Orders_Log!$C:$C,$A532,Orders_Log!$M:$M,"Yes"))</f>
        <v/>
      </c>
      <c r="D532" s="5">
        <f>IF(B532=0,0,C532/B532)</f>
        <v/>
      </c>
      <c r="E532">
        <f>IF($A532="","",SUMIFS(Orders_Log!$I:$I,Orders_Log!$C:$C,$A532))</f>
        <v/>
      </c>
      <c r="F532">
        <f>IF(B532=0,0,E532/B532)</f>
        <v/>
      </c>
      <c r="G532">
        <f>IF($A532="","",IFERROR(AVERAGEIFS(Orders_Log!$H:$H,Orders_Log!$C:$C,$A532,Orders_Log!$H:$H,"&gt;0"),0))</f>
        <v/>
      </c>
      <c r="H532">
        <f>IF($A532="","",COUNTIFS(Orders_Log!$C:$C,$A532,Orders_Log!$P:$P,"Returned to Picker"))</f>
        <v/>
      </c>
    </row>
    <row r="533">
      <c r="B533">
        <f>IF($A533="","",COUNTIFS(Orders_Log!$C:$C,$A533,Orders_Log!$B:$B,"&lt;&gt;"))</f>
        <v/>
      </c>
      <c r="C533">
        <f>IF($A533="","",COUNTIFS(Orders_Log!$C:$C,$A533,Orders_Log!$M:$M,"Yes"))</f>
        <v/>
      </c>
      <c r="D533" s="5">
        <f>IF(B533=0,0,C533/B533)</f>
        <v/>
      </c>
      <c r="E533">
        <f>IF($A533="","",SUMIFS(Orders_Log!$I:$I,Orders_Log!$C:$C,$A533))</f>
        <v/>
      </c>
      <c r="F533">
        <f>IF(B533=0,0,E533/B533)</f>
        <v/>
      </c>
      <c r="G533">
        <f>IF($A533="","",IFERROR(AVERAGEIFS(Orders_Log!$H:$H,Orders_Log!$C:$C,$A533,Orders_Log!$H:$H,"&gt;0"),0))</f>
        <v/>
      </c>
      <c r="H533">
        <f>IF($A533="","",COUNTIFS(Orders_Log!$C:$C,$A533,Orders_Log!$P:$P,"Returned to Picker"))</f>
        <v/>
      </c>
    </row>
    <row r="534">
      <c r="B534">
        <f>IF($A534="","",COUNTIFS(Orders_Log!$C:$C,$A534,Orders_Log!$B:$B,"&lt;&gt;"))</f>
        <v/>
      </c>
      <c r="C534">
        <f>IF($A534="","",COUNTIFS(Orders_Log!$C:$C,$A534,Orders_Log!$M:$M,"Yes"))</f>
        <v/>
      </c>
      <c r="D534" s="5">
        <f>IF(B534=0,0,C534/B534)</f>
        <v/>
      </c>
      <c r="E534">
        <f>IF($A534="","",SUMIFS(Orders_Log!$I:$I,Orders_Log!$C:$C,$A534))</f>
        <v/>
      </c>
      <c r="F534">
        <f>IF(B534=0,0,E534/B534)</f>
        <v/>
      </c>
      <c r="G534">
        <f>IF($A534="","",IFERROR(AVERAGEIFS(Orders_Log!$H:$H,Orders_Log!$C:$C,$A534,Orders_Log!$H:$H,"&gt;0"),0))</f>
        <v/>
      </c>
      <c r="H534">
        <f>IF($A534="","",COUNTIFS(Orders_Log!$C:$C,$A534,Orders_Log!$P:$P,"Returned to Picker"))</f>
        <v/>
      </c>
    </row>
    <row r="535">
      <c r="B535">
        <f>IF($A535="","",COUNTIFS(Orders_Log!$C:$C,$A535,Orders_Log!$B:$B,"&lt;&gt;"))</f>
        <v/>
      </c>
      <c r="C535">
        <f>IF($A535="","",COUNTIFS(Orders_Log!$C:$C,$A535,Orders_Log!$M:$M,"Yes"))</f>
        <v/>
      </c>
      <c r="D535" s="5">
        <f>IF(B535=0,0,C535/B535)</f>
        <v/>
      </c>
      <c r="E535">
        <f>IF($A535="","",SUMIFS(Orders_Log!$I:$I,Orders_Log!$C:$C,$A535))</f>
        <v/>
      </c>
      <c r="F535">
        <f>IF(B535=0,0,E535/B535)</f>
        <v/>
      </c>
      <c r="G535">
        <f>IF($A535="","",IFERROR(AVERAGEIFS(Orders_Log!$H:$H,Orders_Log!$C:$C,$A535,Orders_Log!$H:$H,"&gt;0"),0))</f>
        <v/>
      </c>
      <c r="H535">
        <f>IF($A535="","",COUNTIFS(Orders_Log!$C:$C,$A535,Orders_Log!$P:$P,"Returned to Picker"))</f>
        <v/>
      </c>
    </row>
    <row r="536">
      <c r="B536">
        <f>IF($A536="","",COUNTIFS(Orders_Log!$C:$C,$A536,Orders_Log!$B:$B,"&lt;&gt;"))</f>
        <v/>
      </c>
      <c r="C536">
        <f>IF($A536="","",COUNTIFS(Orders_Log!$C:$C,$A536,Orders_Log!$M:$M,"Yes"))</f>
        <v/>
      </c>
      <c r="D536" s="5">
        <f>IF(B536=0,0,C536/B536)</f>
        <v/>
      </c>
      <c r="E536">
        <f>IF($A536="","",SUMIFS(Orders_Log!$I:$I,Orders_Log!$C:$C,$A536))</f>
        <v/>
      </c>
      <c r="F536">
        <f>IF(B536=0,0,E536/B536)</f>
        <v/>
      </c>
      <c r="G536">
        <f>IF($A536="","",IFERROR(AVERAGEIFS(Orders_Log!$H:$H,Orders_Log!$C:$C,$A536,Orders_Log!$H:$H,"&gt;0"),0))</f>
        <v/>
      </c>
      <c r="H536">
        <f>IF($A536="","",COUNTIFS(Orders_Log!$C:$C,$A536,Orders_Log!$P:$P,"Returned to Picker"))</f>
        <v/>
      </c>
    </row>
    <row r="537">
      <c r="B537">
        <f>IF($A537="","",COUNTIFS(Orders_Log!$C:$C,$A537,Orders_Log!$B:$B,"&lt;&gt;"))</f>
        <v/>
      </c>
      <c r="C537">
        <f>IF($A537="","",COUNTIFS(Orders_Log!$C:$C,$A537,Orders_Log!$M:$M,"Yes"))</f>
        <v/>
      </c>
      <c r="D537" s="5">
        <f>IF(B537=0,0,C537/B537)</f>
        <v/>
      </c>
      <c r="E537">
        <f>IF($A537="","",SUMIFS(Orders_Log!$I:$I,Orders_Log!$C:$C,$A537))</f>
        <v/>
      </c>
      <c r="F537">
        <f>IF(B537=0,0,E537/B537)</f>
        <v/>
      </c>
      <c r="G537">
        <f>IF($A537="","",IFERROR(AVERAGEIFS(Orders_Log!$H:$H,Orders_Log!$C:$C,$A537,Orders_Log!$H:$H,"&gt;0"),0))</f>
        <v/>
      </c>
      <c r="H537">
        <f>IF($A537="","",COUNTIFS(Orders_Log!$C:$C,$A537,Orders_Log!$P:$P,"Returned to Picker"))</f>
        <v/>
      </c>
    </row>
    <row r="538">
      <c r="B538">
        <f>IF($A538="","",COUNTIFS(Orders_Log!$C:$C,$A538,Orders_Log!$B:$B,"&lt;&gt;"))</f>
        <v/>
      </c>
      <c r="C538">
        <f>IF($A538="","",COUNTIFS(Orders_Log!$C:$C,$A538,Orders_Log!$M:$M,"Yes"))</f>
        <v/>
      </c>
      <c r="D538" s="5">
        <f>IF(B538=0,0,C538/B538)</f>
        <v/>
      </c>
      <c r="E538">
        <f>IF($A538="","",SUMIFS(Orders_Log!$I:$I,Orders_Log!$C:$C,$A538))</f>
        <v/>
      </c>
      <c r="F538">
        <f>IF(B538=0,0,E538/B538)</f>
        <v/>
      </c>
      <c r="G538">
        <f>IF($A538="","",IFERROR(AVERAGEIFS(Orders_Log!$H:$H,Orders_Log!$C:$C,$A538,Orders_Log!$H:$H,"&gt;0"),0))</f>
        <v/>
      </c>
      <c r="H538">
        <f>IF($A538="","",COUNTIFS(Orders_Log!$C:$C,$A538,Orders_Log!$P:$P,"Returned to Picker"))</f>
        <v/>
      </c>
    </row>
    <row r="539">
      <c r="B539">
        <f>IF($A539="","",COUNTIFS(Orders_Log!$C:$C,$A539,Orders_Log!$B:$B,"&lt;&gt;"))</f>
        <v/>
      </c>
      <c r="C539">
        <f>IF($A539="","",COUNTIFS(Orders_Log!$C:$C,$A539,Orders_Log!$M:$M,"Yes"))</f>
        <v/>
      </c>
      <c r="D539" s="5">
        <f>IF(B539=0,0,C539/B539)</f>
        <v/>
      </c>
      <c r="E539">
        <f>IF($A539="","",SUMIFS(Orders_Log!$I:$I,Orders_Log!$C:$C,$A539))</f>
        <v/>
      </c>
      <c r="F539">
        <f>IF(B539=0,0,E539/B539)</f>
        <v/>
      </c>
      <c r="G539">
        <f>IF($A539="","",IFERROR(AVERAGEIFS(Orders_Log!$H:$H,Orders_Log!$C:$C,$A539,Orders_Log!$H:$H,"&gt;0"),0))</f>
        <v/>
      </c>
      <c r="H539">
        <f>IF($A539="","",COUNTIFS(Orders_Log!$C:$C,$A539,Orders_Log!$P:$P,"Returned to Picker"))</f>
        <v/>
      </c>
    </row>
    <row r="540">
      <c r="B540">
        <f>IF($A540="","",COUNTIFS(Orders_Log!$C:$C,$A540,Orders_Log!$B:$B,"&lt;&gt;"))</f>
        <v/>
      </c>
      <c r="C540">
        <f>IF($A540="","",COUNTIFS(Orders_Log!$C:$C,$A540,Orders_Log!$M:$M,"Yes"))</f>
        <v/>
      </c>
      <c r="D540" s="5">
        <f>IF(B540=0,0,C540/B540)</f>
        <v/>
      </c>
      <c r="E540">
        <f>IF($A540="","",SUMIFS(Orders_Log!$I:$I,Orders_Log!$C:$C,$A540))</f>
        <v/>
      </c>
      <c r="F540">
        <f>IF(B540=0,0,E540/B540)</f>
        <v/>
      </c>
      <c r="G540">
        <f>IF($A540="","",IFERROR(AVERAGEIFS(Orders_Log!$H:$H,Orders_Log!$C:$C,$A540,Orders_Log!$H:$H,"&gt;0"),0))</f>
        <v/>
      </c>
      <c r="H540">
        <f>IF($A540="","",COUNTIFS(Orders_Log!$C:$C,$A540,Orders_Log!$P:$P,"Returned to Picker"))</f>
        <v/>
      </c>
    </row>
    <row r="541">
      <c r="B541">
        <f>IF($A541="","",COUNTIFS(Orders_Log!$C:$C,$A541,Orders_Log!$B:$B,"&lt;&gt;"))</f>
        <v/>
      </c>
      <c r="C541">
        <f>IF($A541="","",COUNTIFS(Orders_Log!$C:$C,$A541,Orders_Log!$M:$M,"Yes"))</f>
        <v/>
      </c>
      <c r="D541" s="5">
        <f>IF(B541=0,0,C541/B541)</f>
        <v/>
      </c>
      <c r="E541">
        <f>IF($A541="","",SUMIFS(Orders_Log!$I:$I,Orders_Log!$C:$C,$A541))</f>
        <v/>
      </c>
      <c r="F541">
        <f>IF(B541=0,0,E541/B541)</f>
        <v/>
      </c>
      <c r="G541">
        <f>IF($A541="","",IFERROR(AVERAGEIFS(Orders_Log!$H:$H,Orders_Log!$C:$C,$A541,Orders_Log!$H:$H,"&gt;0"),0))</f>
        <v/>
      </c>
      <c r="H541">
        <f>IF($A541="","",COUNTIFS(Orders_Log!$C:$C,$A541,Orders_Log!$P:$P,"Returned to Picker"))</f>
        <v/>
      </c>
    </row>
    <row r="542">
      <c r="B542">
        <f>IF($A542="","",COUNTIFS(Orders_Log!$C:$C,$A542,Orders_Log!$B:$B,"&lt;&gt;"))</f>
        <v/>
      </c>
      <c r="C542">
        <f>IF($A542="","",COUNTIFS(Orders_Log!$C:$C,$A542,Orders_Log!$M:$M,"Yes"))</f>
        <v/>
      </c>
      <c r="D542" s="5">
        <f>IF(B542=0,0,C542/B542)</f>
        <v/>
      </c>
      <c r="E542">
        <f>IF($A542="","",SUMIFS(Orders_Log!$I:$I,Orders_Log!$C:$C,$A542))</f>
        <v/>
      </c>
      <c r="F542">
        <f>IF(B542=0,0,E542/B542)</f>
        <v/>
      </c>
      <c r="G542">
        <f>IF($A542="","",IFERROR(AVERAGEIFS(Orders_Log!$H:$H,Orders_Log!$C:$C,$A542,Orders_Log!$H:$H,"&gt;0"),0))</f>
        <v/>
      </c>
      <c r="H542">
        <f>IF($A542="","",COUNTIFS(Orders_Log!$C:$C,$A542,Orders_Log!$P:$P,"Returned to Picker"))</f>
        <v/>
      </c>
    </row>
    <row r="543">
      <c r="B543">
        <f>IF($A543="","",COUNTIFS(Orders_Log!$C:$C,$A543,Orders_Log!$B:$B,"&lt;&gt;"))</f>
        <v/>
      </c>
      <c r="C543">
        <f>IF($A543="","",COUNTIFS(Orders_Log!$C:$C,$A543,Orders_Log!$M:$M,"Yes"))</f>
        <v/>
      </c>
      <c r="D543" s="5">
        <f>IF(B543=0,0,C543/B543)</f>
        <v/>
      </c>
      <c r="E543">
        <f>IF($A543="","",SUMIFS(Orders_Log!$I:$I,Orders_Log!$C:$C,$A543))</f>
        <v/>
      </c>
      <c r="F543">
        <f>IF(B543=0,0,E543/B543)</f>
        <v/>
      </c>
      <c r="G543">
        <f>IF($A543="","",IFERROR(AVERAGEIFS(Orders_Log!$H:$H,Orders_Log!$C:$C,$A543,Orders_Log!$H:$H,"&gt;0"),0))</f>
        <v/>
      </c>
      <c r="H543">
        <f>IF($A543="","",COUNTIFS(Orders_Log!$C:$C,$A543,Orders_Log!$P:$P,"Returned to Picker"))</f>
        <v/>
      </c>
    </row>
    <row r="544">
      <c r="B544">
        <f>IF($A544="","",COUNTIFS(Orders_Log!$C:$C,$A544,Orders_Log!$B:$B,"&lt;&gt;"))</f>
        <v/>
      </c>
      <c r="C544">
        <f>IF($A544="","",COUNTIFS(Orders_Log!$C:$C,$A544,Orders_Log!$M:$M,"Yes"))</f>
        <v/>
      </c>
      <c r="D544" s="5">
        <f>IF(B544=0,0,C544/B544)</f>
        <v/>
      </c>
      <c r="E544">
        <f>IF($A544="","",SUMIFS(Orders_Log!$I:$I,Orders_Log!$C:$C,$A544))</f>
        <v/>
      </c>
      <c r="F544">
        <f>IF(B544=0,0,E544/B544)</f>
        <v/>
      </c>
      <c r="G544">
        <f>IF($A544="","",IFERROR(AVERAGEIFS(Orders_Log!$H:$H,Orders_Log!$C:$C,$A544,Orders_Log!$H:$H,"&gt;0"),0))</f>
        <v/>
      </c>
      <c r="H544">
        <f>IF($A544="","",COUNTIFS(Orders_Log!$C:$C,$A544,Orders_Log!$P:$P,"Returned to Picker"))</f>
        <v/>
      </c>
    </row>
    <row r="545">
      <c r="B545">
        <f>IF($A545="","",COUNTIFS(Orders_Log!$C:$C,$A545,Orders_Log!$B:$B,"&lt;&gt;"))</f>
        <v/>
      </c>
      <c r="C545">
        <f>IF($A545="","",COUNTIFS(Orders_Log!$C:$C,$A545,Orders_Log!$M:$M,"Yes"))</f>
        <v/>
      </c>
      <c r="D545" s="5">
        <f>IF(B545=0,0,C545/B545)</f>
        <v/>
      </c>
      <c r="E545">
        <f>IF($A545="","",SUMIFS(Orders_Log!$I:$I,Orders_Log!$C:$C,$A545))</f>
        <v/>
      </c>
      <c r="F545">
        <f>IF(B545=0,0,E545/B545)</f>
        <v/>
      </c>
      <c r="G545">
        <f>IF($A545="","",IFERROR(AVERAGEIFS(Orders_Log!$H:$H,Orders_Log!$C:$C,$A545,Orders_Log!$H:$H,"&gt;0"),0))</f>
        <v/>
      </c>
      <c r="H545">
        <f>IF($A545="","",COUNTIFS(Orders_Log!$C:$C,$A545,Orders_Log!$P:$P,"Returned to Picker"))</f>
        <v/>
      </c>
    </row>
    <row r="546">
      <c r="B546">
        <f>IF($A546="","",COUNTIFS(Orders_Log!$C:$C,$A546,Orders_Log!$B:$B,"&lt;&gt;"))</f>
        <v/>
      </c>
      <c r="C546">
        <f>IF($A546="","",COUNTIFS(Orders_Log!$C:$C,$A546,Orders_Log!$M:$M,"Yes"))</f>
        <v/>
      </c>
      <c r="D546" s="5">
        <f>IF(B546=0,0,C546/B546)</f>
        <v/>
      </c>
      <c r="E546">
        <f>IF($A546="","",SUMIFS(Orders_Log!$I:$I,Orders_Log!$C:$C,$A546))</f>
        <v/>
      </c>
      <c r="F546">
        <f>IF(B546=0,0,E546/B546)</f>
        <v/>
      </c>
      <c r="G546">
        <f>IF($A546="","",IFERROR(AVERAGEIFS(Orders_Log!$H:$H,Orders_Log!$C:$C,$A546,Orders_Log!$H:$H,"&gt;0"),0))</f>
        <v/>
      </c>
      <c r="H546">
        <f>IF($A546="","",COUNTIFS(Orders_Log!$C:$C,$A546,Orders_Log!$P:$P,"Returned to Picker"))</f>
        <v/>
      </c>
    </row>
    <row r="547">
      <c r="B547">
        <f>IF($A547="","",COUNTIFS(Orders_Log!$C:$C,$A547,Orders_Log!$B:$B,"&lt;&gt;"))</f>
        <v/>
      </c>
      <c r="C547">
        <f>IF($A547="","",COUNTIFS(Orders_Log!$C:$C,$A547,Orders_Log!$M:$M,"Yes"))</f>
        <v/>
      </c>
      <c r="D547" s="5">
        <f>IF(B547=0,0,C547/B547)</f>
        <v/>
      </c>
      <c r="E547">
        <f>IF($A547="","",SUMIFS(Orders_Log!$I:$I,Orders_Log!$C:$C,$A547))</f>
        <v/>
      </c>
      <c r="F547">
        <f>IF(B547=0,0,E547/B547)</f>
        <v/>
      </c>
      <c r="G547">
        <f>IF($A547="","",IFERROR(AVERAGEIFS(Orders_Log!$H:$H,Orders_Log!$C:$C,$A547,Orders_Log!$H:$H,"&gt;0"),0))</f>
        <v/>
      </c>
      <c r="H547">
        <f>IF($A547="","",COUNTIFS(Orders_Log!$C:$C,$A547,Orders_Log!$P:$P,"Returned to Picker"))</f>
        <v/>
      </c>
    </row>
    <row r="548">
      <c r="B548">
        <f>IF($A548="","",COUNTIFS(Orders_Log!$C:$C,$A548,Orders_Log!$B:$B,"&lt;&gt;"))</f>
        <v/>
      </c>
      <c r="C548">
        <f>IF($A548="","",COUNTIFS(Orders_Log!$C:$C,$A548,Orders_Log!$M:$M,"Yes"))</f>
        <v/>
      </c>
      <c r="D548" s="5">
        <f>IF(B548=0,0,C548/B548)</f>
        <v/>
      </c>
      <c r="E548">
        <f>IF($A548="","",SUMIFS(Orders_Log!$I:$I,Orders_Log!$C:$C,$A548))</f>
        <v/>
      </c>
      <c r="F548">
        <f>IF(B548=0,0,E548/B548)</f>
        <v/>
      </c>
      <c r="G548">
        <f>IF($A548="","",IFERROR(AVERAGEIFS(Orders_Log!$H:$H,Orders_Log!$C:$C,$A548,Orders_Log!$H:$H,"&gt;0"),0))</f>
        <v/>
      </c>
      <c r="H548">
        <f>IF($A548="","",COUNTIFS(Orders_Log!$C:$C,$A548,Orders_Log!$P:$P,"Returned to Picker"))</f>
        <v/>
      </c>
    </row>
    <row r="549">
      <c r="B549">
        <f>IF($A549="","",COUNTIFS(Orders_Log!$C:$C,$A549,Orders_Log!$B:$B,"&lt;&gt;"))</f>
        <v/>
      </c>
      <c r="C549">
        <f>IF($A549="","",COUNTIFS(Orders_Log!$C:$C,$A549,Orders_Log!$M:$M,"Yes"))</f>
        <v/>
      </c>
      <c r="D549" s="5">
        <f>IF(B549=0,0,C549/B549)</f>
        <v/>
      </c>
      <c r="E549">
        <f>IF($A549="","",SUMIFS(Orders_Log!$I:$I,Orders_Log!$C:$C,$A549))</f>
        <v/>
      </c>
      <c r="F549">
        <f>IF(B549=0,0,E549/B549)</f>
        <v/>
      </c>
      <c r="G549">
        <f>IF($A549="","",IFERROR(AVERAGEIFS(Orders_Log!$H:$H,Orders_Log!$C:$C,$A549,Orders_Log!$H:$H,"&gt;0"),0))</f>
        <v/>
      </c>
      <c r="H549">
        <f>IF($A549="","",COUNTIFS(Orders_Log!$C:$C,$A549,Orders_Log!$P:$P,"Returned to Picker"))</f>
        <v/>
      </c>
    </row>
    <row r="550">
      <c r="B550">
        <f>IF($A550="","",COUNTIFS(Orders_Log!$C:$C,$A550,Orders_Log!$B:$B,"&lt;&gt;"))</f>
        <v/>
      </c>
      <c r="C550">
        <f>IF($A550="","",COUNTIFS(Orders_Log!$C:$C,$A550,Orders_Log!$M:$M,"Yes"))</f>
        <v/>
      </c>
      <c r="D550" s="5">
        <f>IF(B550=0,0,C550/B550)</f>
        <v/>
      </c>
      <c r="E550">
        <f>IF($A550="","",SUMIFS(Orders_Log!$I:$I,Orders_Log!$C:$C,$A550))</f>
        <v/>
      </c>
      <c r="F550">
        <f>IF(B550=0,0,E550/B550)</f>
        <v/>
      </c>
      <c r="G550">
        <f>IF($A550="","",IFERROR(AVERAGEIFS(Orders_Log!$H:$H,Orders_Log!$C:$C,$A550,Orders_Log!$H:$H,"&gt;0"),0))</f>
        <v/>
      </c>
      <c r="H550">
        <f>IF($A550="","",COUNTIFS(Orders_Log!$C:$C,$A550,Orders_Log!$P:$P,"Returned to Picker"))</f>
        <v/>
      </c>
    </row>
    <row r="551">
      <c r="B551">
        <f>IF($A551="","",COUNTIFS(Orders_Log!$C:$C,$A551,Orders_Log!$B:$B,"&lt;&gt;"))</f>
        <v/>
      </c>
      <c r="C551">
        <f>IF($A551="","",COUNTIFS(Orders_Log!$C:$C,$A551,Orders_Log!$M:$M,"Yes"))</f>
        <v/>
      </c>
      <c r="D551" s="5">
        <f>IF(B551=0,0,C551/B551)</f>
        <v/>
      </c>
      <c r="E551">
        <f>IF($A551="","",SUMIFS(Orders_Log!$I:$I,Orders_Log!$C:$C,$A551))</f>
        <v/>
      </c>
      <c r="F551">
        <f>IF(B551=0,0,E551/B551)</f>
        <v/>
      </c>
      <c r="G551">
        <f>IF($A551="","",IFERROR(AVERAGEIFS(Orders_Log!$H:$H,Orders_Log!$C:$C,$A551,Orders_Log!$H:$H,"&gt;0"),0))</f>
        <v/>
      </c>
      <c r="H551">
        <f>IF($A551="","",COUNTIFS(Orders_Log!$C:$C,$A551,Orders_Log!$P:$P,"Returned to Picker"))</f>
        <v/>
      </c>
    </row>
    <row r="552">
      <c r="B552">
        <f>IF($A552="","",COUNTIFS(Orders_Log!$C:$C,$A552,Orders_Log!$B:$B,"&lt;&gt;"))</f>
        <v/>
      </c>
      <c r="C552">
        <f>IF($A552="","",COUNTIFS(Orders_Log!$C:$C,$A552,Orders_Log!$M:$M,"Yes"))</f>
        <v/>
      </c>
      <c r="D552" s="5">
        <f>IF(B552=0,0,C552/B552)</f>
        <v/>
      </c>
      <c r="E552">
        <f>IF($A552="","",SUMIFS(Orders_Log!$I:$I,Orders_Log!$C:$C,$A552))</f>
        <v/>
      </c>
      <c r="F552">
        <f>IF(B552=0,0,E552/B552)</f>
        <v/>
      </c>
      <c r="G552">
        <f>IF($A552="","",IFERROR(AVERAGEIFS(Orders_Log!$H:$H,Orders_Log!$C:$C,$A552,Orders_Log!$H:$H,"&gt;0"),0))</f>
        <v/>
      </c>
      <c r="H552">
        <f>IF($A552="","",COUNTIFS(Orders_Log!$C:$C,$A552,Orders_Log!$P:$P,"Returned to Picker"))</f>
        <v/>
      </c>
    </row>
    <row r="553">
      <c r="B553">
        <f>IF($A553="","",COUNTIFS(Orders_Log!$C:$C,$A553,Orders_Log!$B:$B,"&lt;&gt;"))</f>
        <v/>
      </c>
      <c r="C553">
        <f>IF($A553="","",COUNTIFS(Orders_Log!$C:$C,$A553,Orders_Log!$M:$M,"Yes"))</f>
        <v/>
      </c>
      <c r="D553" s="5">
        <f>IF(B553=0,0,C553/B553)</f>
        <v/>
      </c>
      <c r="E553">
        <f>IF($A553="","",SUMIFS(Orders_Log!$I:$I,Orders_Log!$C:$C,$A553))</f>
        <v/>
      </c>
      <c r="F553">
        <f>IF(B553=0,0,E553/B553)</f>
        <v/>
      </c>
      <c r="G553">
        <f>IF($A553="","",IFERROR(AVERAGEIFS(Orders_Log!$H:$H,Orders_Log!$C:$C,$A553,Orders_Log!$H:$H,"&gt;0"),0))</f>
        <v/>
      </c>
      <c r="H553">
        <f>IF($A553="","",COUNTIFS(Orders_Log!$C:$C,$A553,Orders_Log!$P:$P,"Returned to Picker"))</f>
        <v/>
      </c>
    </row>
    <row r="554">
      <c r="B554">
        <f>IF($A554="","",COUNTIFS(Orders_Log!$C:$C,$A554,Orders_Log!$B:$B,"&lt;&gt;"))</f>
        <v/>
      </c>
      <c r="C554">
        <f>IF($A554="","",COUNTIFS(Orders_Log!$C:$C,$A554,Orders_Log!$M:$M,"Yes"))</f>
        <v/>
      </c>
      <c r="D554" s="5">
        <f>IF(B554=0,0,C554/B554)</f>
        <v/>
      </c>
      <c r="E554">
        <f>IF($A554="","",SUMIFS(Orders_Log!$I:$I,Orders_Log!$C:$C,$A554))</f>
        <v/>
      </c>
      <c r="F554">
        <f>IF(B554=0,0,E554/B554)</f>
        <v/>
      </c>
      <c r="G554">
        <f>IF($A554="","",IFERROR(AVERAGEIFS(Orders_Log!$H:$H,Orders_Log!$C:$C,$A554,Orders_Log!$H:$H,"&gt;0"),0))</f>
        <v/>
      </c>
      <c r="H554">
        <f>IF($A554="","",COUNTIFS(Orders_Log!$C:$C,$A554,Orders_Log!$P:$P,"Returned to Picker"))</f>
        <v/>
      </c>
    </row>
    <row r="555">
      <c r="B555">
        <f>IF($A555="","",COUNTIFS(Orders_Log!$C:$C,$A555,Orders_Log!$B:$B,"&lt;&gt;"))</f>
        <v/>
      </c>
      <c r="C555">
        <f>IF($A555="","",COUNTIFS(Orders_Log!$C:$C,$A555,Orders_Log!$M:$M,"Yes"))</f>
        <v/>
      </c>
      <c r="D555" s="5">
        <f>IF(B555=0,0,C555/B555)</f>
        <v/>
      </c>
      <c r="E555">
        <f>IF($A555="","",SUMIFS(Orders_Log!$I:$I,Orders_Log!$C:$C,$A555))</f>
        <v/>
      </c>
      <c r="F555">
        <f>IF(B555=0,0,E555/B555)</f>
        <v/>
      </c>
      <c r="G555">
        <f>IF($A555="","",IFERROR(AVERAGEIFS(Orders_Log!$H:$H,Orders_Log!$C:$C,$A555,Orders_Log!$H:$H,"&gt;0"),0))</f>
        <v/>
      </c>
      <c r="H555">
        <f>IF($A555="","",COUNTIFS(Orders_Log!$C:$C,$A555,Orders_Log!$P:$P,"Returned to Picker"))</f>
        <v/>
      </c>
    </row>
    <row r="556">
      <c r="B556">
        <f>IF($A556="","",COUNTIFS(Orders_Log!$C:$C,$A556,Orders_Log!$B:$B,"&lt;&gt;"))</f>
        <v/>
      </c>
      <c r="C556">
        <f>IF($A556="","",COUNTIFS(Orders_Log!$C:$C,$A556,Orders_Log!$M:$M,"Yes"))</f>
        <v/>
      </c>
      <c r="D556" s="5">
        <f>IF(B556=0,0,C556/B556)</f>
        <v/>
      </c>
      <c r="E556">
        <f>IF($A556="","",SUMIFS(Orders_Log!$I:$I,Orders_Log!$C:$C,$A556))</f>
        <v/>
      </c>
      <c r="F556">
        <f>IF(B556=0,0,E556/B556)</f>
        <v/>
      </c>
      <c r="G556">
        <f>IF($A556="","",IFERROR(AVERAGEIFS(Orders_Log!$H:$H,Orders_Log!$C:$C,$A556,Orders_Log!$H:$H,"&gt;0"),0))</f>
        <v/>
      </c>
      <c r="H556">
        <f>IF($A556="","",COUNTIFS(Orders_Log!$C:$C,$A556,Orders_Log!$P:$P,"Returned to Picker"))</f>
        <v/>
      </c>
    </row>
    <row r="557">
      <c r="B557">
        <f>IF($A557="","",COUNTIFS(Orders_Log!$C:$C,$A557,Orders_Log!$B:$B,"&lt;&gt;"))</f>
        <v/>
      </c>
      <c r="C557">
        <f>IF($A557="","",COUNTIFS(Orders_Log!$C:$C,$A557,Orders_Log!$M:$M,"Yes"))</f>
        <v/>
      </c>
      <c r="D557" s="5">
        <f>IF(B557=0,0,C557/B557)</f>
        <v/>
      </c>
      <c r="E557">
        <f>IF($A557="","",SUMIFS(Orders_Log!$I:$I,Orders_Log!$C:$C,$A557))</f>
        <v/>
      </c>
      <c r="F557">
        <f>IF(B557=0,0,E557/B557)</f>
        <v/>
      </c>
      <c r="G557">
        <f>IF($A557="","",IFERROR(AVERAGEIFS(Orders_Log!$H:$H,Orders_Log!$C:$C,$A557,Orders_Log!$H:$H,"&gt;0"),0))</f>
        <v/>
      </c>
      <c r="H557">
        <f>IF($A557="","",COUNTIFS(Orders_Log!$C:$C,$A557,Orders_Log!$P:$P,"Returned to Picker"))</f>
        <v/>
      </c>
    </row>
    <row r="558">
      <c r="B558">
        <f>IF($A558="","",COUNTIFS(Orders_Log!$C:$C,$A558,Orders_Log!$B:$B,"&lt;&gt;"))</f>
        <v/>
      </c>
      <c r="C558">
        <f>IF($A558="","",COUNTIFS(Orders_Log!$C:$C,$A558,Orders_Log!$M:$M,"Yes"))</f>
        <v/>
      </c>
      <c r="D558" s="5">
        <f>IF(B558=0,0,C558/B558)</f>
        <v/>
      </c>
      <c r="E558">
        <f>IF($A558="","",SUMIFS(Orders_Log!$I:$I,Orders_Log!$C:$C,$A558))</f>
        <v/>
      </c>
      <c r="F558">
        <f>IF(B558=0,0,E558/B558)</f>
        <v/>
      </c>
      <c r="G558">
        <f>IF($A558="","",IFERROR(AVERAGEIFS(Orders_Log!$H:$H,Orders_Log!$C:$C,$A558,Orders_Log!$H:$H,"&gt;0"),0))</f>
        <v/>
      </c>
      <c r="H558">
        <f>IF($A558="","",COUNTIFS(Orders_Log!$C:$C,$A558,Orders_Log!$P:$P,"Returned to Picker"))</f>
        <v/>
      </c>
    </row>
    <row r="559">
      <c r="B559">
        <f>IF($A559="","",COUNTIFS(Orders_Log!$C:$C,$A559,Orders_Log!$B:$B,"&lt;&gt;"))</f>
        <v/>
      </c>
      <c r="C559">
        <f>IF($A559="","",COUNTIFS(Orders_Log!$C:$C,$A559,Orders_Log!$M:$M,"Yes"))</f>
        <v/>
      </c>
      <c r="D559" s="5">
        <f>IF(B559=0,0,C559/B559)</f>
        <v/>
      </c>
      <c r="E559">
        <f>IF($A559="","",SUMIFS(Orders_Log!$I:$I,Orders_Log!$C:$C,$A559))</f>
        <v/>
      </c>
      <c r="F559">
        <f>IF(B559=0,0,E559/B559)</f>
        <v/>
      </c>
      <c r="G559">
        <f>IF($A559="","",IFERROR(AVERAGEIFS(Orders_Log!$H:$H,Orders_Log!$C:$C,$A559,Orders_Log!$H:$H,"&gt;0"),0))</f>
        <v/>
      </c>
      <c r="H559">
        <f>IF($A559="","",COUNTIFS(Orders_Log!$C:$C,$A559,Orders_Log!$P:$P,"Returned to Picker"))</f>
        <v/>
      </c>
    </row>
    <row r="560">
      <c r="B560">
        <f>IF($A560="","",COUNTIFS(Orders_Log!$C:$C,$A560,Orders_Log!$B:$B,"&lt;&gt;"))</f>
        <v/>
      </c>
      <c r="C560">
        <f>IF($A560="","",COUNTIFS(Orders_Log!$C:$C,$A560,Orders_Log!$M:$M,"Yes"))</f>
        <v/>
      </c>
      <c r="D560" s="5">
        <f>IF(B560=0,0,C560/B560)</f>
        <v/>
      </c>
      <c r="E560">
        <f>IF($A560="","",SUMIFS(Orders_Log!$I:$I,Orders_Log!$C:$C,$A560))</f>
        <v/>
      </c>
      <c r="F560">
        <f>IF(B560=0,0,E560/B560)</f>
        <v/>
      </c>
      <c r="G560">
        <f>IF($A560="","",IFERROR(AVERAGEIFS(Orders_Log!$H:$H,Orders_Log!$C:$C,$A560,Orders_Log!$H:$H,"&gt;0"),0))</f>
        <v/>
      </c>
      <c r="H560">
        <f>IF($A560="","",COUNTIFS(Orders_Log!$C:$C,$A560,Orders_Log!$P:$P,"Returned to Picker"))</f>
        <v/>
      </c>
    </row>
    <row r="561">
      <c r="B561">
        <f>IF($A561="","",COUNTIFS(Orders_Log!$C:$C,$A561,Orders_Log!$B:$B,"&lt;&gt;"))</f>
        <v/>
      </c>
      <c r="C561">
        <f>IF($A561="","",COUNTIFS(Orders_Log!$C:$C,$A561,Orders_Log!$M:$M,"Yes"))</f>
        <v/>
      </c>
      <c r="D561" s="5">
        <f>IF(B561=0,0,C561/B561)</f>
        <v/>
      </c>
      <c r="E561">
        <f>IF($A561="","",SUMIFS(Orders_Log!$I:$I,Orders_Log!$C:$C,$A561))</f>
        <v/>
      </c>
      <c r="F561">
        <f>IF(B561=0,0,E561/B561)</f>
        <v/>
      </c>
      <c r="G561">
        <f>IF($A561="","",IFERROR(AVERAGEIFS(Orders_Log!$H:$H,Orders_Log!$C:$C,$A561,Orders_Log!$H:$H,"&gt;0"),0))</f>
        <v/>
      </c>
      <c r="H561">
        <f>IF($A561="","",COUNTIFS(Orders_Log!$C:$C,$A561,Orders_Log!$P:$P,"Returned to Picker"))</f>
        <v/>
      </c>
    </row>
    <row r="562">
      <c r="B562">
        <f>IF($A562="","",COUNTIFS(Orders_Log!$C:$C,$A562,Orders_Log!$B:$B,"&lt;&gt;"))</f>
        <v/>
      </c>
      <c r="C562">
        <f>IF($A562="","",COUNTIFS(Orders_Log!$C:$C,$A562,Orders_Log!$M:$M,"Yes"))</f>
        <v/>
      </c>
      <c r="D562" s="5">
        <f>IF(B562=0,0,C562/B562)</f>
        <v/>
      </c>
      <c r="E562">
        <f>IF($A562="","",SUMIFS(Orders_Log!$I:$I,Orders_Log!$C:$C,$A562))</f>
        <v/>
      </c>
      <c r="F562">
        <f>IF(B562=0,0,E562/B562)</f>
        <v/>
      </c>
      <c r="G562">
        <f>IF($A562="","",IFERROR(AVERAGEIFS(Orders_Log!$H:$H,Orders_Log!$C:$C,$A562,Orders_Log!$H:$H,"&gt;0"),0))</f>
        <v/>
      </c>
      <c r="H562">
        <f>IF($A562="","",COUNTIFS(Orders_Log!$C:$C,$A562,Orders_Log!$P:$P,"Returned to Picker"))</f>
        <v/>
      </c>
    </row>
    <row r="563">
      <c r="B563">
        <f>IF($A563="","",COUNTIFS(Orders_Log!$C:$C,$A563,Orders_Log!$B:$B,"&lt;&gt;"))</f>
        <v/>
      </c>
      <c r="C563">
        <f>IF($A563="","",COUNTIFS(Orders_Log!$C:$C,$A563,Orders_Log!$M:$M,"Yes"))</f>
        <v/>
      </c>
      <c r="D563" s="5">
        <f>IF(B563=0,0,C563/B563)</f>
        <v/>
      </c>
      <c r="E563">
        <f>IF($A563="","",SUMIFS(Orders_Log!$I:$I,Orders_Log!$C:$C,$A563))</f>
        <v/>
      </c>
      <c r="F563">
        <f>IF(B563=0,0,E563/B563)</f>
        <v/>
      </c>
      <c r="G563">
        <f>IF($A563="","",IFERROR(AVERAGEIFS(Orders_Log!$H:$H,Orders_Log!$C:$C,$A563,Orders_Log!$H:$H,"&gt;0"),0))</f>
        <v/>
      </c>
      <c r="H563">
        <f>IF($A563="","",COUNTIFS(Orders_Log!$C:$C,$A563,Orders_Log!$P:$P,"Returned to Picker"))</f>
        <v/>
      </c>
    </row>
    <row r="564">
      <c r="B564">
        <f>IF($A564="","",COUNTIFS(Orders_Log!$C:$C,$A564,Orders_Log!$B:$B,"&lt;&gt;"))</f>
        <v/>
      </c>
      <c r="C564">
        <f>IF($A564="","",COUNTIFS(Orders_Log!$C:$C,$A564,Orders_Log!$M:$M,"Yes"))</f>
        <v/>
      </c>
      <c r="D564" s="5">
        <f>IF(B564=0,0,C564/B564)</f>
        <v/>
      </c>
      <c r="E564">
        <f>IF($A564="","",SUMIFS(Orders_Log!$I:$I,Orders_Log!$C:$C,$A564))</f>
        <v/>
      </c>
      <c r="F564">
        <f>IF(B564=0,0,E564/B564)</f>
        <v/>
      </c>
      <c r="G564">
        <f>IF($A564="","",IFERROR(AVERAGEIFS(Orders_Log!$H:$H,Orders_Log!$C:$C,$A564,Orders_Log!$H:$H,"&gt;0"),0))</f>
        <v/>
      </c>
      <c r="H564">
        <f>IF($A564="","",COUNTIFS(Orders_Log!$C:$C,$A564,Orders_Log!$P:$P,"Returned to Picker"))</f>
        <v/>
      </c>
    </row>
    <row r="565">
      <c r="B565">
        <f>IF($A565="","",COUNTIFS(Orders_Log!$C:$C,$A565,Orders_Log!$B:$B,"&lt;&gt;"))</f>
        <v/>
      </c>
      <c r="C565">
        <f>IF($A565="","",COUNTIFS(Orders_Log!$C:$C,$A565,Orders_Log!$M:$M,"Yes"))</f>
        <v/>
      </c>
      <c r="D565" s="5">
        <f>IF(B565=0,0,C565/B565)</f>
        <v/>
      </c>
      <c r="E565">
        <f>IF($A565="","",SUMIFS(Orders_Log!$I:$I,Orders_Log!$C:$C,$A565))</f>
        <v/>
      </c>
      <c r="F565">
        <f>IF(B565=0,0,E565/B565)</f>
        <v/>
      </c>
      <c r="G565">
        <f>IF($A565="","",IFERROR(AVERAGEIFS(Orders_Log!$H:$H,Orders_Log!$C:$C,$A565,Orders_Log!$H:$H,"&gt;0"),0))</f>
        <v/>
      </c>
      <c r="H565">
        <f>IF($A565="","",COUNTIFS(Orders_Log!$C:$C,$A565,Orders_Log!$P:$P,"Returned to Picker"))</f>
        <v/>
      </c>
    </row>
    <row r="566">
      <c r="B566">
        <f>IF($A566="","",COUNTIFS(Orders_Log!$C:$C,$A566,Orders_Log!$B:$B,"&lt;&gt;"))</f>
        <v/>
      </c>
      <c r="C566">
        <f>IF($A566="","",COUNTIFS(Orders_Log!$C:$C,$A566,Orders_Log!$M:$M,"Yes"))</f>
        <v/>
      </c>
      <c r="D566" s="5">
        <f>IF(B566=0,0,C566/B566)</f>
        <v/>
      </c>
      <c r="E566">
        <f>IF($A566="","",SUMIFS(Orders_Log!$I:$I,Orders_Log!$C:$C,$A566))</f>
        <v/>
      </c>
      <c r="F566">
        <f>IF(B566=0,0,E566/B566)</f>
        <v/>
      </c>
      <c r="G566">
        <f>IF($A566="","",IFERROR(AVERAGEIFS(Orders_Log!$H:$H,Orders_Log!$C:$C,$A566,Orders_Log!$H:$H,"&gt;0"),0))</f>
        <v/>
      </c>
      <c r="H566">
        <f>IF($A566="","",COUNTIFS(Orders_Log!$C:$C,$A566,Orders_Log!$P:$P,"Returned to Picker"))</f>
        <v/>
      </c>
    </row>
    <row r="567">
      <c r="B567">
        <f>IF($A567="","",COUNTIFS(Orders_Log!$C:$C,$A567,Orders_Log!$B:$B,"&lt;&gt;"))</f>
        <v/>
      </c>
      <c r="C567">
        <f>IF($A567="","",COUNTIFS(Orders_Log!$C:$C,$A567,Orders_Log!$M:$M,"Yes"))</f>
        <v/>
      </c>
      <c r="D567" s="5">
        <f>IF(B567=0,0,C567/B567)</f>
        <v/>
      </c>
      <c r="E567">
        <f>IF($A567="","",SUMIFS(Orders_Log!$I:$I,Orders_Log!$C:$C,$A567))</f>
        <v/>
      </c>
      <c r="F567">
        <f>IF(B567=0,0,E567/B567)</f>
        <v/>
      </c>
      <c r="G567">
        <f>IF($A567="","",IFERROR(AVERAGEIFS(Orders_Log!$H:$H,Orders_Log!$C:$C,$A567,Orders_Log!$H:$H,"&gt;0"),0))</f>
        <v/>
      </c>
      <c r="H567">
        <f>IF($A567="","",COUNTIFS(Orders_Log!$C:$C,$A567,Orders_Log!$P:$P,"Returned to Picker"))</f>
        <v/>
      </c>
    </row>
    <row r="568">
      <c r="B568">
        <f>IF($A568="","",COUNTIFS(Orders_Log!$C:$C,$A568,Orders_Log!$B:$B,"&lt;&gt;"))</f>
        <v/>
      </c>
      <c r="C568">
        <f>IF($A568="","",COUNTIFS(Orders_Log!$C:$C,$A568,Orders_Log!$M:$M,"Yes"))</f>
        <v/>
      </c>
      <c r="D568" s="5">
        <f>IF(B568=0,0,C568/B568)</f>
        <v/>
      </c>
      <c r="E568">
        <f>IF($A568="","",SUMIFS(Orders_Log!$I:$I,Orders_Log!$C:$C,$A568))</f>
        <v/>
      </c>
      <c r="F568">
        <f>IF(B568=0,0,E568/B568)</f>
        <v/>
      </c>
      <c r="G568">
        <f>IF($A568="","",IFERROR(AVERAGEIFS(Orders_Log!$H:$H,Orders_Log!$C:$C,$A568,Orders_Log!$H:$H,"&gt;0"),0))</f>
        <v/>
      </c>
      <c r="H568">
        <f>IF($A568="","",COUNTIFS(Orders_Log!$C:$C,$A568,Orders_Log!$P:$P,"Returned to Picker"))</f>
        <v/>
      </c>
    </row>
    <row r="569">
      <c r="B569">
        <f>IF($A569="","",COUNTIFS(Orders_Log!$C:$C,$A569,Orders_Log!$B:$B,"&lt;&gt;"))</f>
        <v/>
      </c>
      <c r="C569">
        <f>IF($A569="","",COUNTIFS(Orders_Log!$C:$C,$A569,Orders_Log!$M:$M,"Yes"))</f>
        <v/>
      </c>
      <c r="D569" s="5">
        <f>IF(B569=0,0,C569/B569)</f>
        <v/>
      </c>
      <c r="E569">
        <f>IF($A569="","",SUMIFS(Orders_Log!$I:$I,Orders_Log!$C:$C,$A569))</f>
        <v/>
      </c>
      <c r="F569">
        <f>IF(B569=0,0,E569/B569)</f>
        <v/>
      </c>
      <c r="G569">
        <f>IF($A569="","",IFERROR(AVERAGEIFS(Orders_Log!$H:$H,Orders_Log!$C:$C,$A569,Orders_Log!$H:$H,"&gt;0"),0))</f>
        <v/>
      </c>
      <c r="H569">
        <f>IF($A569="","",COUNTIFS(Orders_Log!$C:$C,$A569,Orders_Log!$P:$P,"Returned to Picker"))</f>
        <v/>
      </c>
    </row>
    <row r="570">
      <c r="B570">
        <f>IF($A570="","",COUNTIFS(Orders_Log!$C:$C,$A570,Orders_Log!$B:$B,"&lt;&gt;"))</f>
        <v/>
      </c>
      <c r="C570">
        <f>IF($A570="","",COUNTIFS(Orders_Log!$C:$C,$A570,Orders_Log!$M:$M,"Yes"))</f>
        <v/>
      </c>
      <c r="D570" s="5">
        <f>IF(B570=0,0,C570/B570)</f>
        <v/>
      </c>
      <c r="E570">
        <f>IF($A570="","",SUMIFS(Orders_Log!$I:$I,Orders_Log!$C:$C,$A570))</f>
        <v/>
      </c>
      <c r="F570">
        <f>IF(B570=0,0,E570/B570)</f>
        <v/>
      </c>
      <c r="G570">
        <f>IF($A570="","",IFERROR(AVERAGEIFS(Orders_Log!$H:$H,Orders_Log!$C:$C,$A570,Orders_Log!$H:$H,"&gt;0"),0))</f>
        <v/>
      </c>
      <c r="H570">
        <f>IF($A570="","",COUNTIFS(Orders_Log!$C:$C,$A570,Orders_Log!$P:$P,"Returned to Picker"))</f>
        <v/>
      </c>
    </row>
    <row r="571">
      <c r="B571">
        <f>IF($A571="","",COUNTIFS(Orders_Log!$C:$C,$A571,Orders_Log!$B:$B,"&lt;&gt;"))</f>
        <v/>
      </c>
      <c r="C571">
        <f>IF($A571="","",COUNTIFS(Orders_Log!$C:$C,$A571,Orders_Log!$M:$M,"Yes"))</f>
        <v/>
      </c>
      <c r="D571" s="5">
        <f>IF(B571=0,0,C571/B571)</f>
        <v/>
      </c>
      <c r="E571">
        <f>IF($A571="","",SUMIFS(Orders_Log!$I:$I,Orders_Log!$C:$C,$A571))</f>
        <v/>
      </c>
      <c r="F571">
        <f>IF(B571=0,0,E571/B571)</f>
        <v/>
      </c>
      <c r="G571">
        <f>IF($A571="","",IFERROR(AVERAGEIFS(Orders_Log!$H:$H,Orders_Log!$C:$C,$A571,Orders_Log!$H:$H,"&gt;0"),0))</f>
        <v/>
      </c>
      <c r="H571">
        <f>IF($A571="","",COUNTIFS(Orders_Log!$C:$C,$A571,Orders_Log!$P:$P,"Returned to Picker"))</f>
        <v/>
      </c>
    </row>
    <row r="572">
      <c r="B572">
        <f>IF($A572="","",COUNTIFS(Orders_Log!$C:$C,$A572,Orders_Log!$B:$B,"&lt;&gt;"))</f>
        <v/>
      </c>
      <c r="C572">
        <f>IF($A572="","",COUNTIFS(Orders_Log!$C:$C,$A572,Orders_Log!$M:$M,"Yes"))</f>
        <v/>
      </c>
      <c r="D572" s="5">
        <f>IF(B572=0,0,C572/B572)</f>
        <v/>
      </c>
      <c r="E572">
        <f>IF($A572="","",SUMIFS(Orders_Log!$I:$I,Orders_Log!$C:$C,$A572))</f>
        <v/>
      </c>
      <c r="F572">
        <f>IF(B572=0,0,E572/B572)</f>
        <v/>
      </c>
      <c r="G572">
        <f>IF($A572="","",IFERROR(AVERAGEIFS(Orders_Log!$H:$H,Orders_Log!$C:$C,$A572,Orders_Log!$H:$H,"&gt;0"),0))</f>
        <v/>
      </c>
      <c r="H572">
        <f>IF($A572="","",COUNTIFS(Orders_Log!$C:$C,$A572,Orders_Log!$P:$P,"Returned to Picker"))</f>
        <v/>
      </c>
    </row>
    <row r="573">
      <c r="B573">
        <f>IF($A573="","",COUNTIFS(Orders_Log!$C:$C,$A573,Orders_Log!$B:$B,"&lt;&gt;"))</f>
        <v/>
      </c>
      <c r="C573">
        <f>IF($A573="","",COUNTIFS(Orders_Log!$C:$C,$A573,Orders_Log!$M:$M,"Yes"))</f>
        <v/>
      </c>
      <c r="D573" s="5">
        <f>IF(B573=0,0,C573/B573)</f>
        <v/>
      </c>
      <c r="E573">
        <f>IF($A573="","",SUMIFS(Orders_Log!$I:$I,Orders_Log!$C:$C,$A573))</f>
        <v/>
      </c>
      <c r="F573">
        <f>IF(B573=0,0,E573/B573)</f>
        <v/>
      </c>
      <c r="G573">
        <f>IF($A573="","",IFERROR(AVERAGEIFS(Orders_Log!$H:$H,Orders_Log!$C:$C,$A573,Orders_Log!$H:$H,"&gt;0"),0))</f>
        <v/>
      </c>
      <c r="H573">
        <f>IF($A573="","",COUNTIFS(Orders_Log!$C:$C,$A573,Orders_Log!$P:$P,"Returned to Picker"))</f>
        <v/>
      </c>
    </row>
    <row r="574">
      <c r="B574">
        <f>IF($A574="","",COUNTIFS(Orders_Log!$C:$C,$A574,Orders_Log!$B:$B,"&lt;&gt;"))</f>
        <v/>
      </c>
      <c r="C574">
        <f>IF($A574="","",COUNTIFS(Orders_Log!$C:$C,$A574,Orders_Log!$M:$M,"Yes"))</f>
        <v/>
      </c>
      <c r="D574" s="5">
        <f>IF(B574=0,0,C574/B574)</f>
        <v/>
      </c>
      <c r="E574">
        <f>IF($A574="","",SUMIFS(Orders_Log!$I:$I,Orders_Log!$C:$C,$A574))</f>
        <v/>
      </c>
      <c r="F574">
        <f>IF(B574=0,0,E574/B574)</f>
        <v/>
      </c>
      <c r="G574">
        <f>IF($A574="","",IFERROR(AVERAGEIFS(Orders_Log!$H:$H,Orders_Log!$C:$C,$A574,Orders_Log!$H:$H,"&gt;0"),0))</f>
        <v/>
      </c>
      <c r="H574">
        <f>IF($A574="","",COUNTIFS(Orders_Log!$C:$C,$A574,Orders_Log!$P:$P,"Returned to Picker"))</f>
        <v/>
      </c>
    </row>
    <row r="575">
      <c r="B575">
        <f>IF($A575="","",COUNTIFS(Orders_Log!$C:$C,$A575,Orders_Log!$B:$B,"&lt;&gt;"))</f>
        <v/>
      </c>
      <c r="C575">
        <f>IF($A575="","",COUNTIFS(Orders_Log!$C:$C,$A575,Orders_Log!$M:$M,"Yes"))</f>
        <v/>
      </c>
      <c r="D575" s="5">
        <f>IF(B575=0,0,C575/B575)</f>
        <v/>
      </c>
      <c r="E575">
        <f>IF($A575="","",SUMIFS(Orders_Log!$I:$I,Orders_Log!$C:$C,$A575))</f>
        <v/>
      </c>
      <c r="F575">
        <f>IF(B575=0,0,E575/B575)</f>
        <v/>
      </c>
      <c r="G575">
        <f>IF($A575="","",IFERROR(AVERAGEIFS(Orders_Log!$H:$H,Orders_Log!$C:$C,$A575,Orders_Log!$H:$H,"&gt;0"),0))</f>
        <v/>
      </c>
      <c r="H575">
        <f>IF($A575="","",COUNTIFS(Orders_Log!$C:$C,$A575,Orders_Log!$P:$P,"Returned to Picker"))</f>
        <v/>
      </c>
    </row>
    <row r="576">
      <c r="B576">
        <f>IF($A576="","",COUNTIFS(Orders_Log!$C:$C,$A576,Orders_Log!$B:$B,"&lt;&gt;"))</f>
        <v/>
      </c>
      <c r="C576">
        <f>IF($A576="","",COUNTIFS(Orders_Log!$C:$C,$A576,Orders_Log!$M:$M,"Yes"))</f>
        <v/>
      </c>
      <c r="D576" s="5">
        <f>IF(B576=0,0,C576/B576)</f>
        <v/>
      </c>
      <c r="E576">
        <f>IF($A576="","",SUMIFS(Orders_Log!$I:$I,Orders_Log!$C:$C,$A576))</f>
        <v/>
      </c>
      <c r="F576">
        <f>IF(B576=0,0,E576/B576)</f>
        <v/>
      </c>
      <c r="G576">
        <f>IF($A576="","",IFERROR(AVERAGEIFS(Orders_Log!$H:$H,Orders_Log!$C:$C,$A576,Orders_Log!$H:$H,"&gt;0"),0))</f>
        <v/>
      </c>
      <c r="H576">
        <f>IF($A576="","",COUNTIFS(Orders_Log!$C:$C,$A576,Orders_Log!$P:$P,"Returned to Picker"))</f>
        <v/>
      </c>
    </row>
    <row r="577">
      <c r="B577">
        <f>IF($A577="","",COUNTIFS(Orders_Log!$C:$C,$A577,Orders_Log!$B:$B,"&lt;&gt;"))</f>
        <v/>
      </c>
      <c r="C577">
        <f>IF($A577="","",COUNTIFS(Orders_Log!$C:$C,$A577,Orders_Log!$M:$M,"Yes"))</f>
        <v/>
      </c>
      <c r="D577" s="5">
        <f>IF(B577=0,0,C577/B577)</f>
        <v/>
      </c>
      <c r="E577">
        <f>IF($A577="","",SUMIFS(Orders_Log!$I:$I,Orders_Log!$C:$C,$A577))</f>
        <v/>
      </c>
      <c r="F577">
        <f>IF(B577=0,0,E577/B577)</f>
        <v/>
      </c>
      <c r="G577">
        <f>IF($A577="","",IFERROR(AVERAGEIFS(Orders_Log!$H:$H,Orders_Log!$C:$C,$A577,Orders_Log!$H:$H,"&gt;0"),0))</f>
        <v/>
      </c>
      <c r="H577">
        <f>IF($A577="","",COUNTIFS(Orders_Log!$C:$C,$A577,Orders_Log!$P:$P,"Returned to Picker"))</f>
        <v/>
      </c>
    </row>
    <row r="578">
      <c r="B578">
        <f>IF($A578="","",COUNTIFS(Orders_Log!$C:$C,$A578,Orders_Log!$B:$B,"&lt;&gt;"))</f>
        <v/>
      </c>
      <c r="C578">
        <f>IF($A578="","",COUNTIFS(Orders_Log!$C:$C,$A578,Orders_Log!$M:$M,"Yes"))</f>
        <v/>
      </c>
      <c r="D578" s="5">
        <f>IF(B578=0,0,C578/B578)</f>
        <v/>
      </c>
      <c r="E578">
        <f>IF($A578="","",SUMIFS(Orders_Log!$I:$I,Orders_Log!$C:$C,$A578))</f>
        <v/>
      </c>
      <c r="F578">
        <f>IF(B578=0,0,E578/B578)</f>
        <v/>
      </c>
      <c r="G578">
        <f>IF($A578="","",IFERROR(AVERAGEIFS(Orders_Log!$H:$H,Orders_Log!$C:$C,$A578,Orders_Log!$H:$H,"&gt;0"),0))</f>
        <v/>
      </c>
      <c r="H578">
        <f>IF($A578="","",COUNTIFS(Orders_Log!$C:$C,$A578,Orders_Log!$P:$P,"Returned to Picker"))</f>
        <v/>
      </c>
    </row>
    <row r="579">
      <c r="B579">
        <f>IF($A579="","",COUNTIFS(Orders_Log!$C:$C,$A579,Orders_Log!$B:$B,"&lt;&gt;"))</f>
        <v/>
      </c>
      <c r="C579">
        <f>IF($A579="","",COUNTIFS(Orders_Log!$C:$C,$A579,Orders_Log!$M:$M,"Yes"))</f>
        <v/>
      </c>
      <c r="D579" s="5">
        <f>IF(B579=0,0,C579/B579)</f>
        <v/>
      </c>
      <c r="E579">
        <f>IF($A579="","",SUMIFS(Orders_Log!$I:$I,Orders_Log!$C:$C,$A579))</f>
        <v/>
      </c>
      <c r="F579">
        <f>IF(B579=0,0,E579/B579)</f>
        <v/>
      </c>
      <c r="G579">
        <f>IF($A579="","",IFERROR(AVERAGEIFS(Orders_Log!$H:$H,Orders_Log!$C:$C,$A579,Orders_Log!$H:$H,"&gt;0"),0))</f>
        <v/>
      </c>
      <c r="H579">
        <f>IF($A579="","",COUNTIFS(Orders_Log!$C:$C,$A579,Orders_Log!$P:$P,"Returned to Picker"))</f>
        <v/>
      </c>
    </row>
    <row r="580">
      <c r="B580">
        <f>IF($A580="","",COUNTIFS(Orders_Log!$C:$C,$A580,Orders_Log!$B:$B,"&lt;&gt;"))</f>
        <v/>
      </c>
      <c r="C580">
        <f>IF($A580="","",COUNTIFS(Orders_Log!$C:$C,$A580,Orders_Log!$M:$M,"Yes"))</f>
        <v/>
      </c>
      <c r="D580" s="5">
        <f>IF(B580=0,0,C580/B580)</f>
        <v/>
      </c>
      <c r="E580">
        <f>IF($A580="","",SUMIFS(Orders_Log!$I:$I,Orders_Log!$C:$C,$A580))</f>
        <v/>
      </c>
      <c r="F580">
        <f>IF(B580=0,0,E580/B580)</f>
        <v/>
      </c>
      <c r="G580">
        <f>IF($A580="","",IFERROR(AVERAGEIFS(Orders_Log!$H:$H,Orders_Log!$C:$C,$A580,Orders_Log!$H:$H,"&gt;0"),0))</f>
        <v/>
      </c>
      <c r="H580">
        <f>IF($A580="","",COUNTIFS(Orders_Log!$C:$C,$A580,Orders_Log!$P:$P,"Returned to Picker"))</f>
        <v/>
      </c>
    </row>
    <row r="581">
      <c r="B581">
        <f>IF($A581="","",COUNTIFS(Orders_Log!$C:$C,$A581,Orders_Log!$B:$B,"&lt;&gt;"))</f>
        <v/>
      </c>
      <c r="C581">
        <f>IF($A581="","",COUNTIFS(Orders_Log!$C:$C,$A581,Orders_Log!$M:$M,"Yes"))</f>
        <v/>
      </c>
      <c r="D581" s="5">
        <f>IF(B581=0,0,C581/B581)</f>
        <v/>
      </c>
      <c r="E581">
        <f>IF($A581="","",SUMIFS(Orders_Log!$I:$I,Orders_Log!$C:$C,$A581))</f>
        <v/>
      </c>
      <c r="F581">
        <f>IF(B581=0,0,E581/B581)</f>
        <v/>
      </c>
      <c r="G581">
        <f>IF($A581="","",IFERROR(AVERAGEIFS(Orders_Log!$H:$H,Orders_Log!$C:$C,$A581,Orders_Log!$H:$H,"&gt;0"),0))</f>
        <v/>
      </c>
      <c r="H581">
        <f>IF($A581="","",COUNTIFS(Orders_Log!$C:$C,$A581,Orders_Log!$P:$P,"Returned to Picker"))</f>
        <v/>
      </c>
    </row>
    <row r="582">
      <c r="B582">
        <f>IF($A582="","",COUNTIFS(Orders_Log!$C:$C,$A582,Orders_Log!$B:$B,"&lt;&gt;"))</f>
        <v/>
      </c>
      <c r="C582">
        <f>IF($A582="","",COUNTIFS(Orders_Log!$C:$C,$A582,Orders_Log!$M:$M,"Yes"))</f>
        <v/>
      </c>
      <c r="D582" s="5">
        <f>IF(B582=0,0,C582/B582)</f>
        <v/>
      </c>
      <c r="E582">
        <f>IF($A582="","",SUMIFS(Orders_Log!$I:$I,Orders_Log!$C:$C,$A582))</f>
        <v/>
      </c>
      <c r="F582">
        <f>IF(B582=0,0,E582/B582)</f>
        <v/>
      </c>
      <c r="G582">
        <f>IF($A582="","",IFERROR(AVERAGEIFS(Orders_Log!$H:$H,Orders_Log!$C:$C,$A582,Orders_Log!$H:$H,"&gt;0"),0))</f>
        <v/>
      </c>
      <c r="H582">
        <f>IF($A582="","",COUNTIFS(Orders_Log!$C:$C,$A582,Orders_Log!$P:$P,"Returned to Picker"))</f>
        <v/>
      </c>
    </row>
    <row r="583">
      <c r="B583">
        <f>IF($A583="","",COUNTIFS(Orders_Log!$C:$C,$A583,Orders_Log!$B:$B,"&lt;&gt;"))</f>
        <v/>
      </c>
      <c r="C583">
        <f>IF($A583="","",COUNTIFS(Orders_Log!$C:$C,$A583,Orders_Log!$M:$M,"Yes"))</f>
        <v/>
      </c>
      <c r="D583" s="5">
        <f>IF(B583=0,0,C583/B583)</f>
        <v/>
      </c>
      <c r="E583">
        <f>IF($A583="","",SUMIFS(Orders_Log!$I:$I,Orders_Log!$C:$C,$A583))</f>
        <v/>
      </c>
      <c r="F583">
        <f>IF(B583=0,0,E583/B583)</f>
        <v/>
      </c>
      <c r="G583">
        <f>IF($A583="","",IFERROR(AVERAGEIFS(Orders_Log!$H:$H,Orders_Log!$C:$C,$A583,Orders_Log!$H:$H,"&gt;0"),0))</f>
        <v/>
      </c>
      <c r="H583">
        <f>IF($A583="","",COUNTIFS(Orders_Log!$C:$C,$A583,Orders_Log!$P:$P,"Returned to Picker"))</f>
        <v/>
      </c>
    </row>
    <row r="584">
      <c r="B584">
        <f>IF($A584="","",COUNTIFS(Orders_Log!$C:$C,$A584,Orders_Log!$B:$B,"&lt;&gt;"))</f>
        <v/>
      </c>
      <c r="C584">
        <f>IF($A584="","",COUNTIFS(Orders_Log!$C:$C,$A584,Orders_Log!$M:$M,"Yes"))</f>
        <v/>
      </c>
      <c r="D584" s="5">
        <f>IF(B584=0,0,C584/B584)</f>
        <v/>
      </c>
      <c r="E584">
        <f>IF($A584="","",SUMIFS(Orders_Log!$I:$I,Orders_Log!$C:$C,$A584))</f>
        <v/>
      </c>
      <c r="F584">
        <f>IF(B584=0,0,E584/B584)</f>
        <v/>
      </c>
      <c r="G584">
        <f>IF($A584="","",IFERROR(AVERAGEIFS(Orders_Log!$H:$H,Orders_Log!$C:$C,$A584,Orders_Log!$H:$H,"&gt;0"),0))</f>
        <v/>
      </c>
      <c r="H584">
        <f>IF($A584="","",COUNTIFS(Orders_Log!$C:$C,$A584,Orders_Log!$P:$P,"Returned to Picker"))</f>
        <v/>
      </c>
    </row>
    <row r="585">
      <c r="B585">
        <f>IF($A585="","",COUNTIFS(Orders_Log!$C:$C,$A585,Orders_Log!$B:$B,"&lt;&gt;"))</f>
        <v/>
      </c>
      <c r="C585">
        <f>IF($A585="","",COUNTIFS(Orders_Log!$C:$C,$A585,Orders_Log!$M:$M,"Yes"))</f>
        <v/>
      </c>
      <c r="D585" s="5">
        <f>IF(B585=0,0,C585/B585)</f>
        <v/>
      </c>
      <c r="E585">
        <f>IF($A585="","",SUMIFS(Orders_Log!$I:$I,Orders_Log!$C:$C,$A585))</f>
        <v/>
      </c>
      <c r="F585">
        <f>IF(B585=0,0,E585/B585)</f>
        <v/>
      </c>
      <c r="G585">
        <f>IF($A585="","",IFERROR(AVERAGEIFS(Orders_Log!$H:$H,Orders_Log!$C:$C,$A585,Orders_Log!$H:$H,"&gt;0"),0))</f>
        <v/>
      </c>
      <c r="H585">
        <f>IF($A585="","",COUNTIFS(Orders_Log!$C:$C,$A585,Orders_Log!$P:$P,"Returned to Picker"))</f>
        <v/>
      </c>
    </row>
    <row r="586">
      <c r="B586">
        <f>IF($A586="","",COUNTIFS(Orders_Log!$C:$C,$A586,Orders_Log!$B:$B,"&lt;&gt;"))</f>
        <v/>
      </c>
      <c r="C586">
        <f>IF($A586="","",COUNTIFS(Orders_Log!$C:$C,$A586,Orders_Log!$M:$M,"Yes"))</f>
        <v/>
      </c>
      <c r="D586" s="5">
        <f>IF(B586=0,0,C586/B586)</f>
        <v/>
      </c>
      <c r="E586">
        <f>IF($A586="","",SUMIFS(Orders_Log!$I:$I,Orders_Log!$C:$C,$A586))</f>
        <v/>
      </c>
      <c r="F586">
        <f>IF(B586=0,0,E586/B586)</f>
        <v/>
      </c>
      <c r="G586">
        <f>IF($A586="","",IFERROR(AVERAGEIFS(Orders_Log!$H:$H,Orders_Log!$C:$C,$A586,Orders_Log!$H:$H,"&gt;0"),0))</f>
        <v/>
      </c>
      <c r="H586">
        <f>IF($A586="","",COUNTIFS(Orders_Log!$C:$C,$A586,Orders_Log!$P:$P,"Returned to Picker"))</f>
        <v/>
      </c>
    </row>
    <row r="587">
      <c r="B587">
        <f>IF($A587="","",COUNTIFS(Orders_Log!$C:$C,$A587,Orders_Log!$B:$B,"&lt;&gt;"))</f>
        <v/>
      </c>
      <c r="C587">
        <f>IF($A587="","",COUNTIFS(Orders_Log!$C:$C,$A587,Orders_Log!$M:$M,"Yes"))</f>
        <v/>
      </c>
      <c r="D587" s="5">
        <f>IF(B587=0,0,C587/B587)</f>
        <v/>
      </c>
      <c r="E587">
        <f>IF($A587="","",SUMIFS(Orders_Log!$I:$I,Orders_Log!$C:$C,$A587))</f>
        <v/>
      </c>
      <c r="F587">
        <f>IF(B587=0,0,E587/B587)</f>
        <v/>
      </c>
      <c r="G587">
        <f>IF($A587="","",IFERROR(AVERAGEIFS(Orders_Log!$H:$H,Orders_Log!$C:$C,$A587,Orders_Log!$H:$H,"&gt;0"),0))</f>
        <v/>
      </c>
      <c r="H587">
        <f>IF($A587="","",COUNTIFS(Orders_Log!$C:$C,$A587,Orders_Log!$P:$P,"Returned to Picker"))</f>
        <v/>
      </c>
    </row>
    <row r="588">
      <c r="B588">
        <f>IF($A588="","",COUNTIFS(Orders_Log!$C:$C,$A588,Orders_Log!$B:$B,"&lt;&gt;"))</f>
        <v/>
      </c>
      <c r="C588">
        <f>IF($A588="","",COUNTIFS(Orders_Log!$C:$C,$A588,Orders_Log!$M:$M,"Yes"))</f>
        <v/>
      </c>
      <c r="D588" s="5">
        <f>IF(B588=0,0,C588/B588)</f>
        <v/>
      </c>
      <c r="E588">
        <f>IF($A588="","",SUMIFS(Orders_Log!$I:$I,Orders_Log!$C:$C,$A588))</f>
        <v/>
      </c>
      <c r="F588">
        <f>IF(B588=0,0,E588/B588)</f>
        <v/>
      </c>
      <c r="G588">
        <f>IF($A588="","",IFERROR(AVERAGEIFS(Orders_Log!$H:$H,Orders_Log!$C:$C,$A588,Orders_Log!$H:$H,"&gt;0"),0))</f>
        <v/>
      </c>
      <c r="H588">
        <f>IF($A588="","",COUNTIFS(Orders_Log!$C:$C,$A588,Orders_Log!$P:$P,"Returned to Picker"))</f>
        <v/>
      </c>
    </row>
    <row r="589">
      <c r="B589">
        <f>IF($A589="","",COUNTIFS(Orders_Log!$C:$C,$A589,Orders_Log!$B:$B,"&lt;&gt;"))</f>
        <v/>
      </c>
      <c r="C589">
        <f>IF($A589="","",COUNTIFS(Orders_Log!$C:$C,$A589,Orders_Log!$M:$M,"Yes"))</f>
        <v/>
      </c>
      <c r="D589" s="5">
        <f>IF(B589=0,0,C589/B589)</f>
        <v/>
      </c>
      <c r="E589">
        <f>IF($A589="","",SUMIFS(Orders_Log!$I:$I,Orders_Log!$C:$C,$A589))</f>
        <v/>
      </c>
      <c r="F589">
        <f>IF(B589=0,0,E589/B589)</f>
        <v/>
      </c>
      <c r="G589">
        <f>IF($A589="","",IFERROR(AVERAGEIFS(Orders_Log!$H:$H,Orders_Log!$C:$C,$A589,Orders_Log!$H:$H,"&gt;0"),0))</f>
        <v/>
      </c>
      <c r="H589">
        <f>IF($A589="","",COUNTIFS(Orders_Log!$C:$C,$A589,Orders_Log!$P:$P,"Returned to Picker"))</f>
        <v/>
      </c>
    </row>
    <row r="590">
      <c r="B590">
        <f>IF($A590="","",COUNTIFS(Orders_Log!$C:$C,$A590,Orders_Log!$B:$B,"&lt;&gt;"))</f>
        <v/>
      </c>
      <c r="C590">
        <f>IF($A590="","",COUNTIFS(Orders_Log!$C:$C,$A590,Orders_Log!$M:$M,"Yes"))</f>
        <v/>
      </c>
      <c r="D590" s="5">
        <f>IF(B590=0,0,C590/B590)</f>
        <v/>
      </c>
      <c r="E590">
        <f>IF($A590="","",SUMIFS(Orders_Log!$I:$I,Orders_Log!$C:$C,$A590))</f>
        <v/>
      </c>
      <c r="F590">
        <f>IF(B590=0,0,E590/B590)</f>
        <v/>
      </c>
      <c r="G590">
        <f>IF($A590="","",IFERROR(AVERAGEIFS(Orders_Log!$H:$H,Orders_Log!$C:$C,$A590,Orders_Log!$H:$H,"&gt;0"),0))</f>
        <v/>
      </c>
      <c r="H590">
        <f>IF($A590="","",COUNTIFS(Orders_Log!$C:$C,$A590,Orders_Log!$P:$P,"Returned to Picker"))</f>
        <v/>
      </c>
    </row>
    <row r="591">
      <c r="B591">
        <f>IF($A591="","",COUNTIFS(Orders_Log!$C:$C,$A591,Orders_Log!$B:$B,"&lt;&gt;"))</f>
        <v/>
      </c>
      <c r="C591">
        <f>IF($A591="","",COUNTIFS(Orders_Log!$C:$C,$A591,Orders_Log!$M:$M,"Yes"))</f>
        <v/>
      </c>
      <c r="D591" s="5">
        <f>IF(B591=0,0,C591/B591)</f>
        <v/>
      </c>
      <c r="E591">
        <f>IF($A591="","",SUMIFS(Orders_Log!$I:$I,Orders_Log!$C:$C,$A591))</f>
        <v/>
      </c>
      <c r="F591">
        <f>IF(B591=0,0,E591/B591)</f>
        <v/>
      </c>
      <c r="G591">
        <f>IF($A591="","",IFERROR(AVERAGEIFS(Orders_Log!$H:$H,Orders_Log!$C:$C,$A591,Orders_Log!$H:$H,"&gt;0"),0))</f>
        <v/>
      </c>
      <c r="H591">
        <f>IF($A591="","",COUNTIFS(Orders_Log!$C:$C,$A591,Orders_Log!$P:$P,"Returned to Picker"))</f>
        <v/>
      </c>
    </row>
    <row r="592">
      <c r="B592">
        <f>IF($A592="","",COUNTIFS(Orders_Log!$C:$C,$A592,Orders_Log!$B:$B,"&lt;&gt;"))</f>
        <v/>
      </c>
      <c r="C592">
        <f>IF($A592="","",COUNTIFS(Orders_Log!$C:$C,$A592,Orders_Log!$M:$M,"Yes"))</f>
        <v/>
      </c>
      <c r="D592" s="5">
        <f>IF(B592=0,0,C592/B592)</f>
        <v/>
      </c>
      <c r="E592">
        <f>IF($A592="","",SUMIFS(Orders_Log!$I:$I,Orders_Log!$C:$C,$A592))</f>
        <v/>
      </c>
      <c r="F592">
        <f>IF(B592=0,0,E592/B592)</f>
        <v/>
      </c>
      <c r="G592">
        <f>IF($A592="","",IFERROR(AVERAGEIFS(Orders_Log!$H:$H,Orders_Log!$C:$C,$A592,Orders_Log!$H:$H,"&gt;0"),0))</f>
        <v/>
      </c>
      <c r="H592">
        <f>IF($A592="","",COUNTIFS(Orders_Log!$C:$C,$A592,Orders_Log!$P:$P,"Returned to Picker"))</f>
        <v/>
      </c>
    </row>
    <row r="593">
      <c r="B593">
        <f>IF($A593="","",COUNTIFS(Orders_Log!$C:$C,$A593,Orders_Log!$B:$B,"&lt;&gt;"))</f>
        <v/>
      </c>
      <c r="C593">
        <f>IF($A593="","",COUNTIFS(Orders_Log!$C:$C,$A593,Orders_Log!$M:$M,"Yes"))</f>
        <v/>
      </c>
      <c r="D593" s="5">
        <f>IF(B593=0,0,C593/B593)</f>
        <v/>
      </c>
      <c r="E593">
        <f>IF($A593="","",SUMIFS(Orders_Log!$I:$I,Orders_Log!$C:$C,$A593))</f>
        <v/>
      </c>
      <c r="F593">
        <f>IF(B593=0,0,E593/B593)</f>
        <v/>
      </c>
      <c r="G593">
        <f>IF($A593="","",IFERROR(AVERAGEIFS(Orders_Log!$H:$H,Orders_Log!$C:$C,$A593,Orders_Log!$H:$H,"&gt;0"),0))</f>
        <v/>
      </c>
      <c r="H593">
        <f>IF($A593="","",COUNTIFS(Orders_Log!$C:$C,$A593,Orders_Log!$P:$P,"Returned to Picker"))</f>
        <v/>
      </c>
    </row>
    <row r="594">
      <c r="B594">
        <f>IF($A594="","",COUNTIFS(Orders_Log!$C:$C,$A594,Orders_Log!$B:$B,"&lt;&gt;"))</f>
        <v/>
      </c>
      <c r="C594">
        <f>IF($A594="","",COUNTIFS(Orders_Log!$C:$C,$A594,Orders_Log!$M:$M,"Yes"))</f>
        <v/>
      </c>
      <c r="D594" s="5">
        <f>IF(B594=0,0,C594/B594)</f>
        <v/>
      </c>
      <c r="E594">
        <f>IF($A594="","",SUMIFS(Orders_Log!$I:$I,Orders_Log!$C:$C,$A594))</f>
        <v/>
      </c>
      <c r="F594">
        <f>IF(B594=0,0,E594/B594)</f>
        <v/>
      </c>
      <c r="G594">
        <f>IF($A594="","",IFERROR(AVERAGEIFS(Orders_Log!$H:$H,Orders_Log!$C:$C,$A594,Orders_Log!$H:$H,"&gt;0"),0))</f>
        <v/>
      </c>
      <c r="H594">
        <f>IF($A594="","",COUNTIFS(Orders_Log!$C:$C,$A594,Orders_Log!$P:$P,"Returned to Picker"))</f>
        <v/>
      </c>
    </row>
    <row r="595">
      <c r="B595">
        <f>IF($A595="","",COUNTIFS(Orders_Log!$C:$C,$A595,Orders_Log!$B:$B,"&lt;&gt;"))</f>
        <v/>
      </c>
      <c r="C595">
        <f>IF($A595="","",COUNTIFS(Orders_Log!$C:$C,$A595,Orders_Log!$M:$M,"Yes"))</f>
        <v/>
      </c>
      <c r="D595" s="5">
        <f>IF(B595=0,0,C595/B595)</f>
        <v/>
      </c>
      <c r="E595">
        <f>IF($A595="","",SUMIFS(Orders_Log!$I:$I,Orders_Log!$C:$C,$A595))</f>
        <v/>
      </c>
      <c r="F595">
        <f>IF(B595=0,0,E595/B595)</f>
        <v/>
      </c>
      <c r="G595">
        <f>IF($A595="","",IFERROR(AVERAGEIFS(Orders_Log!$H:$H,Orders_Log!$C:$C,$A595,Orders_Log!$H:$H,"&gt;0"),0))</f>
        <v/>
      </c>
      <c r="H595">
        <f>IF($A595="","",COUNTIFS(Orders_Log!$C:$C,$A595,Orders_Log!$P:$P,"Returned to Picker"))</f>
        <v/>
      </c>
    </row>
    <row r="596">
      <c r="B596">
        <f>IF($A596="","",COUNTIFS(Orders_Log!$C:$C,$A596,Orders_Log!$B:$B,"&lt;&gt;"))</f>
        <v/>
      </c>
      <c r="C596">
        <f>IF($A596="","",COUNTIFS(Orders_Log!$C:$C,$A596,Orders_Log!$M:$M,"Yes"))</f>
        <v/>
      </c>
      <c r="D596" s="5">
        <f>IF(B596=0,0,C596/B596)</f>
        <v/>
      </c>
      <c r="E596">
        <f>IF($A596="","",SUMIFS(Orders_Log!$I:$I,Orders_Log!$C:$C,$A596))</f>
        <v/>
      </c>
      <c r="F596">
        <f>IF(B596=0,0,E596/B596)</f>
        <v/>
      </c>
      <c r="G596">
        <f>IF($A596="","",IFERROR(AVERAGEIFS(Orders_Log!$H:$H,Orders_Log!$C:$C,$A596,Orders_Log!$H:$H,"&gt;0"),0))</f>
        <v/>
      </c>
      <c r="H596">
        <f>IF($A596="","",COUNTIFS(Orders_Log!$C:$C,$A596,Orders_Log!$P:$P,"Returned to Picker"))</f>
        <v/>
      </c>
    </row>
    <row r="597">
      <c r="B597">
        <f>IF($A597="","",COUNTIFS(Orders_Log!$C:$C,$A597,Orders_Log!$B:$B,"&lt;&gt;"))</f>
        <v/>
      </c>
      <c r="C597">
        <f>IF($A597="","",COUNTIFS(Orders_Log!$C:$C,$A597,Orders_Log!$M:$M,"Yes"))</f>
        <v/>
      </c>
      <c r="D597" s="5">
        <f>IF(B597=0,0,C597/B597)</f>
        <v/>
      </c>
      <c r="E597">
        <f>IF($A597="","",SUMIFS(Orders_Log!$I:$I,Orders_Log!$C:$C,$A597))</f>
        <v/>
      </c>
      <c r="F597">
        <f>IF(B597=0,0,E597/B597)</f>
        <v/>
      </c>
      <c r="G597">
        <f>IF($A597="","",IFERROR(AVERAGEIFS(Orders_Log!$H:$H,Orders_Log!$C:$C,$A597,Orders_Log!$H:$H,"&gt;0"),0))</f>
        <v/>
      </c>
      <c r="H597">
        <f>IF($A597="","",COUNTIFS(Orders_Log!$C:$C,$A597,Orders_Log!$P:$P,"Returned to Picker"))</f>
        <v/>
      </c>
    </row>
    <row r="598">
      <c r="B598">
        <f>IF($A598="","",COUNTIFS(Orders_Log!$C:$C,$A598,Orders_Log!$B:$B,"&lt;&gt;"))</f>
        <v/>
      </c>
      <c r="C598">
        <f>IF($A598="","",COUNTIFS(Orders_Log!$C:$C,$A598,Orders_Log!$M:$M,"Yes"))</f>
        <v/>
      </c>
      <c r="D598" s="5">
        <f>IF(B598=0,0,C598/B598)</f>
        <v/>
      </c>
      <c r="E598">
        <f>IF($A598="","",SUMIFS(Orders_Log!$I:$I,Orders_Log!$C:$C,$A598))</f>
        <v/>
      </c>
      <c r="F598">
        <f>IF(B598=0,0,E598/B598)</f>
        <v/>
      </c>
      <c r="G598">
        <f>IF($A598="","",IFERROR(AVERAGEIFS(Orders_Log!$H:$H,Orders_Log!$C:$C,$A598,Orders_Log!$H:$H,"&gt;0"),0))</f>
        <v/>
      </c>
      <c r="H598">
        <f>IF($A598="","",COUNTIFS(Orders_Log!$C:$C,$A598,Orders_Log!$P:$P,"Returned to Picker"))</f>
        <v/>
      </c>
    </row>
    <row r="599">
      <c r="B599">
        <f>IF($A599="","",COUNTIFS(Orders_Log!$C:$C,$A599,Orders_Log!$B:$B,"&lt;&gt;"))</f>
        <v/>
      </c>
      <c r="C599">
        <f>IF($A599="","",COUNTIFS(Orders_Log!$C:$C,$A599,Orders_Log!$M:$M,"Yes"))</f>
        <v/>
      </c>
      <c r="D599" s="5">
        <f>IF(B599=0,0,C599/B599)</f>
        <v/>
      </c>
      <c r="E599">
        <f>IF($A599="","",SUMIFS(Orders_Log!$I:$I,Orders_Log!$C:$C,$A599))</f>
        <v/>
      </c>
      <c r="F599">
        <f>IF(B599=0,0,E599/B599)</f>
        <v/>
      </c>
      <c r="G599">
        <f>IF($A599="","",IFERROR(AVERAGEIFS(Orders_Log!$H:$H,Orders_Log!$C:$C,$A599,Orders_Log!$H:$H,"&gt;0"),0))</f>
        <v/>
      </c>
      <c r="H599">
        <f>IF($A599="","",COUNTIFS(Orders_Log!$C:$C,$A599,Orders_Log!$P:$P,"Returned to Picker"))</f>
        <v/>
      </c>
    </row>
    <row r="600">
      <c r="B600">
        <f>IF($A600="","",COUNTIFS(Orders_Log!$C:$C,$A600,Orders_Log!$B:$B,"&lt;&gt;"))</f>
        <v/>
      </c>
      <c r="C600">
        <f>IF($A600="","",COUNTIFS(Orders_Log!$C:$C,$A600,Orders_Log!$M:$M,"Yes"))</f>
        <v/>
      </c>
      <c r="D600" s="5">
        <f>IF(B600=0,0,C600/B600)</f>
        <v/>
      </c>
      <c r="E600">
        <f>IF($A600="","",SUMIFS(Orders_Log!$I:$I,Orders_Log!$C:$C,$A600))</f>
        <v/>
      </c>
      <c r="F600">
        <f>IF(B600=0,0,E600/B600)</f>
        <v/>
      </c>
      <c r="G600">
        <f>IF($A600="","",IFERROR(AVERAGEIFS(Orders_Log!$H:$H,Orders_Log!$C:$C,$A600,Orders_Log!$H:$H,"&gt;0"),0))</f>
        <v/>
      </c>
      <c r="H600">
        <f>IF($A600="","",COUNTIFS(Orders_Log!$C:$C,$A600,Orders_Log!$P:$P,"Returned to Picker"))</f>
        <v/>
      </c>
    </row>
    <row r="601">
      <c r="B601">
        <f>IF($A601="","",COUNTIFS(Orders_Log!$C:$C,$A601,Orders_Log!$B:$B,"&lt;&gt;"))</f>
        <v/>
      </c>
      <c r="C601">
        <f>IF($A601="","",COUNTIFS(Orders_Log!$C:$C,$A601,Orders_Log!$M:$M,"Yes"))</f>
        <v/>
      </c>
      <c r="D601" s="5">
        <f>IF(B601=0,0,C601/B601)</f>
        <v/>
      </c>
      <c r="E601">
        <f>IF($A601="","",SUMIFS(Orders_Log!$I:$I,Orders_Log!$C:$C,$A601))</f>
        <v/>
      </c>
      <c r="F601">
        <f>IF(B601=0,0,E601/B601)</f>
        <v/>
      </c>
      <c r="G601">
        <f>IF($A601="","",IFERROR(AVERAGEIFS(Orders_Log!$H:$H,Orders_Log!$C:$C,$A601,Orders_Log!$H:$H,"&gt;0"),0))</f>
        <v/>
      </c>
      <c r="H601">
        <f>IF($A601="","",COUNTIFS(Orders_Log!$C:$C,$A601,Orders_Log!$P:$P,"Returned to Picker"))</f>
        <v/>
      </c>
    </row>
    <row r="602">
      <c r="B602">
        <f>IF($A602="","",COUNTIFS(Orders_Log!$C:$C,$A602,Orders_Log!$B:$B,"&lt;&gt;"))</f>
        <v/>
      </c>
      <c r="C602">
        <f>IF($A602="","",COUNTIFS(Orders_Log!$C:$C,$A602,Orders_Log!$M:$M,"Yes"))</f>
        <v/>
      </c>
      <c r="D602" s="5">
        <f>IF(B602=0,0,C602/B602)</f>
        <v/>
      </c>
      <c r="E602">
        <f>IF($A602="","",SUMIFS(Orders_Log!$I:$I,Orders_Log!$C:$C,$A602))</f>
        <v/>
      </c>
      <c r="F602">
        <f>IF(B602=0,0,E602/B602)</f>
        <v/>
      </c>
      <c r="G602">
        <f>IF($A602="","",IFERROR(AVERAGEIFS(Orders_Log!$H:$H,Orders_Log!$C:$C,$A602,Orders_Log!$H:$H,"&gt;0"),0))</f>
        <v/>
      </c>
      <c r="H602">
        <f>IF($A602="","",COUNTIFS(Orders_Log!$C:$C,$A602,Orders_Log!$P:$P,"Returned to Picker"))</f>
        <v/>
      </c>
    </row>
    <row r="603">
      <c r="B603">
        <f>IF($A603="","",COUNTIFS(Orders_Log!$C:$C,$A603,Orders_Log!$B:$B,"&lt;&gt;"))</f>
        <v/>
      </c>
      <c r="C603">
        <f>IF($A603="","",COUNTIFS(Orders_Log!$C:$C,$A603,Orders_Log!$M:$M,"Yes"))</f>
        <v/>
      </c>
      <c r="D603" s="5">
        <f>IF(B603=0,0,C603/B603)</f>
        <v/>
      </c>
      <c r="E603">
        <f>IF($A603="","",SUMIFS(Orders_Log!$I:$I,Orders_Log!$C:$C,$A603))</f>
        <v/>
      </c>
      <c r="F603">
        <f>IF(B603=0,0,E603/B603)</f>
        <v/>
      </c>
      <c r="G603">
        <f>IF($A603="","",IFERROR(AVERAGEIFS(Orders_Log!$H:$H,Orders_Log!$C:$C,$A603,Orders_Log!$H:$H,"&gt;0"),0))</f>
        <v/>
      </c>
      <c r="H603">
        <f>IF($A603="","",COUNTIFS(Orders_Log!$C:$C,$A603,Orders_Log!$P:$P,"Returned to Picker"))</f>
        <v/>
      </c>
    </row>
    <row r="604">
      <c r="B604">
        <f>IF($A604="","",COUNTIFS(Orders_Log!$C:$C,$A604,Orders_Log!$B:$B,"&lt;&gt;"))</f>
        <v/>
      </c>
      <c r="C604">
        <f>IF($A604="","",COUNTIFS(Orders_Log!$C:$C,$A604,Orders_Log!$M:$M,"Yes"))</f>
        <v/>
      </c>
      <c r="D604" s="5">
        <f>IF(B604=0,0,C604/B604)</f>
        <v/>
      </c>
      <c r="E604">
        <f>IF($A604="","",SUMIFS(Orders_Log!$I:$I,Orders_Log!$C:$C,$A604))</f>
        <v/>
      </c>
      <c r="F604">
        <f>IF(B604=0,0,E604/B604)</f>
        <v/>
      </c>
      <c r="G604">
        <f>IF($A604="","",IFERROR(AVERAGEIFS(Orders_Log!$H:$H,Orders_Log!$C:$C,$A604,Orders_Log!$H:$H,"&gt;0"),0))</f>
        <v/>
      </c>
      <c r="H604">
        <f>IF($A604="","",COUNTIFS(Orders_Log!$C:$C,$A604,Orders_Log!$P:$P,"Returned to Picker"))</f>
        <v/>
      </c>
    </row>
    <row r="605">
      <c r="B605">
        <f>IF($A605="","",COUNTIFS(Orders_Log!$C:$C,$A605,Orders_Log!$B:$B,"&lt;&gt;"))</f>
        <v/>
      </c>
      <c r="C605">
        <f>IF($A605="","",COUNTIFS(Orders_Log!$C:$C,$A605,Orders_Log!$M:$M,"Yes"))</f>
        <v/>
      </c>
      <c r="D605" s="5">
        <f>IF(B605=0,0,C605/B605)</f>
        <v/>
      </c>
      <c r="E605">
        <f>IF($A605="","",SUMIFS(Orders_Log!$I:$I,Orders_Log!$C:$C,$A605))</f>
        <v/>
      </c>
      <c r="F605">
        <f>IF(B605=0,0,E605/B605)</f>
        <v/>
      </c>
      <c r="G605">
        <f>IF($A605="","",IFERROR(AVERAGEIFS(Orders_Log!$H:$H,Orders_Log!$C:$C,$A605,Orders_Log!$H:$H,"&gt;0"),0))</f>
        <v/>
      </c>
      <c r="H605">
        <f>IF($A605="","",COUNTIFS(Orders_Log!$C:$C,$A605,Orders_Log!$P:$P,"Returned to Picker"))</f>
        <v/>
      </c>
    </row>
    <row r="606">
      <c r="B606">
        <f>IF($A606="","",COUNTIFS(Orders_Log!$C:$C,$A606,Orders_Log!$B:$B,"&lt;&gt;"))</f>
        <v/>
      </c>
      <c r="C606">
        <f>IF($A606="","",COUNTIFS(Orders_Log!$C:$C,$A606,Orders_Log!$M:$M,"Yes"))</f>
        <v/>
      </c>
      <c r="D606" s="5">
        <f>IF(B606=0,0,C606/B606)</f>
        <v/>
      </c>
      <c r="E606">
        <f>IF($A606="","",SUMIFS(Orders_Log!$I:$I,Orders_Log!$C:$C,$A606))</f>
        <v/>
      </c>
      <c r="F606">
        <f>IF(B606=0,0,E606/B606)</f>
        <v/>
      </c>
      <c r="G606">
        <f>IF($A606="","",IFERROR(AVERAGEIFS(Orders_Log!$H:$H,Orders_Log!$C:$C,$A606,Orders_Log!$H:$H,"&gt;0"),0))</f>
        <v/>
      </c>
      <c r="H606">
        <f>IF($A606="","",COUNTIFS(Orders_Log!$C:$C,$A606,Orders_Log!$P:$P,"Returned to Picker"))</f>
        <v/>
      </c>
    </row>
    <row r="607">
      <c r="B607">
        <f>IF($A607="","",COUNTIFS(Orders_Log!$C:$C,$A607,Orders_Log!$B:$B,"&lt;&gt;"))</f>
        <v/>
      </c>
      <c r="C607">
        <f>IF($A607="","",COUNTIFS(Orders_Log!$C:$C,$A607,Orders_Log!$M:$M,"Yes"))</f>
        <v/>
      </c>
      <c r="D607" s="5">
        <f>IF(B607=0,0,C607/B607)</f>
        <v/>
      </c>
      <c r="E607">
        <f>IF($A607="","",SUMIFS(Orders_Log!$I:$I,Orders_Log!$C:$C,$A607))</f>
        <v/>
      </c>
      <c r="F607">
        <f>IF(B607=0,0,E607/B607)</f>
        <v/>
      </c>
      <c r="G607">
        <f>IF($A607="","",IFERROR(AVERAGEIFS(Orders_Log!$H:$H,Orders_Log!$C:$C,$A607,Orders_Log!$H:$H,"&gt;0"),0))</f>
        <v/>
      </c>
      <c r="H607">
        <f>IF($A607="","",COUNTIFS(Orders_Log!$C:$C,$A607,Orders_Log!$P:$P,"Returned to Picker"))</f>
        <v/>
      </c>
    </row>
    <row r="608">
      <c r="B608">
        <f>IF($A608="","",COUNTIFS(Orders_Log!$C:$C,$A608,Orders_Log!$B:$B,"&lt;&gt;"))</f>
        <v/>
      </c>
      <c r="C608">
        <f>IF($A608="","",COUNTIFS(Orders_Log!$C:$C,$A608,Orders_Log!$M:$M,"Yes"))</f>
        <v/>
      </c>
      <c r="D608" s="5">
        <f>IF(B608=0,0,C608/B608)</f>
        <v/>
      </c>
      <c r="E608">
        <f>IF($A608="","",SUMIFS(Orders_Log!$I:$I,Orders_Log!$C:$C,$A608))</f>
        <v/>
      </c>
      <c r="F608">
        <f>IF(B608=0,0,E608/B608)</f>
        <v/>
      </c>
      <c r="G608">
        <f>IF($A608="","",IFERROR(AVERAGEIFS(Orders_Log!$H:$H,Orders_Log!$C:$C,$A608,Orders_Log!$H:$H,"&gt;0"),0))</f>
        <v/>
      </c>
      <c r="H608">
        <f>IF($A608="","",COUNTIFS(Orders_Log!$C:$C,$A608,Orders_Log!$P:$P,"Returned to Picker"))</f>
        <v/>
      </c>
    </row>
    <row r="609">
      <c r="B609">
        <f>IF($A609="","",COUNTIFS(Orders_Log!$C:$C,$A609,Orders_Log!$B:$B,"&lt;&gt;"))</f>
        <v/>
      </c>
      <c r="C609">
        <f>IF($A609="","",COUNTIFS(Orders_Log!$C:$C,$A609,Orders_Log!$M:$M,"Yes"))</f>
        <v/>
      </c>
      <c r="D609" s="5">
        <f>IF(B609=0,0,C609/B609)</f>
        <v/>
      </c>
      <c r="E609">
        <f>IF($A609="","",SUMIFS(Orders_Log!$I:$I,Orders_Log!$C:$C,$A609))</f>
        <v/>
      </c>
      <c r="F609">
        <f>IF(B609=0,0,E609/B609)</f>
        <v/>
      </c>
      <c r="G609">
        <f>IF($A609="","",IFERROR(AVERAGEIFS(Orders_Log!$H:$H,Orders_Log!$C:$C,$A609,Orders_Log!$H:$H,"&gt;0"),0))</f>
        <v/>
      </c>
      <c r="H609">
        <f>IF($A609="","",COUNTIFS(Orders_Log!$C:$C,$A609,Orders_Log!$P:$P,"Returned to Picker"))</f>
        <v/>
      </c>
    </row>
    <row r="610">
      <c r="B610">
        <f>IF($A610="","",COUNTIFS(Orders_Log!$C:$C,$A610,Orders_Log!$B:$B,"&lt;&gt;"))</f>
        <v/>
      </c>
      <c r="C610">
        <f>IF($A610="","",COUNTIFS(Orders_Log!$C:$C,$A610,Orders_Log!$M:$M,"Yes"))</f>
        <v/>
      </c>
      <c r="D610" s="5">
        <f>IF(B610=0,0,C610/B610)</f>
        <v/>
      </c>
      <c r="E610">
        <f>IF($A610="","",SUMIFS(Orders_Log!$I:$I,Orders_Log!$C:$C,$A610))</f>
        <v/>
      </c>
      <c r="F610">
        <f>IF(B610=0,0,E610/B610)</f>
        <v/>
      </c>
      <c r="G610">
        <f>IF($A610="","",IFERROR(AVERAGEIFS(Orders_Log!$H:$H,Orders_Log!$C:$C,$A610,Orders_Log!$H:$H,"&gt;0"),0))</f>
        <v/>
      </c>
      <c r="H610">
        <f>IF($A610="","",COUNTIFS(Orders_Log!$C:$C,$A610,Orders_Log!$P:$P,"Returned to Picker"))</f>
        <v/>
      </c>
    </row>
    <row r="611">
      <c r="B611">
        <f>IF($A611="","",COUNTIFS(Orders_Log!$C:$C,$A611,Orders_Log!$B:$B,"&lt;&gt;"))</f>
        <v/>
      </c>
      <c r="C611">
        <f>IF($A611="","",COUNTIFS(Orders_Log!$C:$C,$A611,Orders_Log!$M:$M,"Yes"))</f>
        <v/>
      </c>
      <c r="D611" s="5">
        <f>IF(B611=0,0,C611/B611)</f>
        <v/>
      </c>
      <c r="E611">
        <f>IF($A611="","",SUMIFS(Orders_Log!$I:$I,Orders_Log!$C:$C,$A611))</f>
        <v/>
      </c>
      <c r="F611">
        <f>IF(B611=0,0,E611/B611)</f>
        <v/>
      </c>
      <c r="G611">
        <f>IF($A611="","",IFERROR(AVERAGEIFS(Orders_Log!$H:$H,Orders_Log!$C:$C,$A611,Orders_Log!$H:$H,"&gt;0"),0))</f>
        <v/>
      </c>
      <c r="H611">
        <f>IF($A611="","",COUNTIFS(Orders_Log!$C:$C,$A611,Orders_Log!$P:$P,"Returned to Picker"))</f>
        <v/>
      </c>
    </row>
    <row r="612">
      <c r="B612">
        <f>IF($A612="","",COUNTIFS(Orders_Log!$C:$C,$A612,Orders_Log!$B:$B,"&lt;&gt;"))</f>
        <v/>
      </c>
      <c r="C612">
        <f>IF($A612="","",COUNTIFS(Orders_Log!$C:$C,$A612,Orders_Log!$M:$M,"Yes"))</f>
        <v/>
      </c>
      <c r="D612" s="5">
        <f>IF(B612=0,0,C612/B612)</f>
        <v/>
      </c>
      <c r="E612">
        <f>IF($A612="","",SUMIFS(Orders_Log!$I:$I,Orders_Log!$C:$C,$A612))</f>
        <v/>
      </c>
      <c r="F612">
        <f>IF(B612=0,0,E612/B612)</f>
        <v/>
      </c>
      <c r="G612">
        <f>IF($A612="","",IFERROR(AVERAGEIFS(Orders_Log!$H:$H,Orders_Log!$C:$C,$A612,Orders_Log!$H:$H,"&gt;0"),0))</f>
        <v/>
      </c>
      <c r="H612">
        <f>IF($A612="","",COUNTIFS(Orders_Log!$C:$C,$A612,Orders_Log!$P:$P,"Returned to Picker"))</f>
        <v/>
      </c>
    </row>
    <row r="613">
      <c r="B613">
        <f>IF($A613="","",COUNTIFS(Orders_Log!$C:$C,$A613,Orders_Log!$B:$B,"&lt;&gt;"))</f>
        <v/>
      </c>
      <c r="C613">
        <f>IF($A613="","",COUNTIFS(Orders_Log!$C:$C,$A613,Orders_Log!$M:$M,"Yes"))</f>
        <v/>
      </c>
      <c r="D613" s="5">
        <f>IF(B613=0,0,C613/B613)</f>
        <v/>
      </c>
      <c r="E613">
        <f>IF($A613="","",SUMIFS(Orders_Log!$I:$I,Orders_Log!$C:$C,$A613))</f>
        <v/>
      </c>
      <c r="F613">
        <f>IF(B613=0,0,E613/B613)</f>
        <v/>
      </c>
      <c r="G613">
        <f>IF($A613="","",IFERROR(AVERAGEIFS(Orders_Log!$H:$H,Orders_Log!$C:$C,$A613,Orders_Log!$H:$H,"&gt;0"),0))</f>
        <v/>
      </c>
      <c r="H613">
        <f>IF($A613="","",COUNTIFS(Orders_Log!$C:$C,$A613,Orders_Log!$P:$P,"Returned to Picker"))</f>
        <v/>
      </c>
    </row>
    <row r="614">
      <c r="B614">
        <f>IF($A614="","",COUNTIFS(Orders_Log!$C:$C,$A614,Orders_Log!$B:$B,"&lt;&gt;"))</f>
        <v/>
      </c>
      <c r="C614">
        <f>IF($A614="","",COUNTIFS(Orders_Log!$C:$C,$A614,Orders_Log!$M:$M,"Yes"))</f>
        <v/>
      </c>
      <c r="D614" s="5">
        <f>IF(B614=0,0,C614/B614)</f>
        <v/>
      </c>
      <c r="E614">
        <f>IF($A614="","",SUMIFS(Orders_Log!$I:$I,Orders_Log!$C:$C,$A614))</f>
        <v/>
      </c>
      <c r="F614">
        <f>IF(B614=0,0,E614/B614)</f>
        <v/>
      </c>
      <c r="G614">
        <f>IF($A614="","",IFERROR(AVERAGEIFS(Orders_Log!$H:$H,Orders_Log!$C:$C,$A614,Orders_Log!$H:$H,"&gt;0"),0))</f>
        <v/>
      </c>
      <c r="H614">
        <f>IF($A614="","",COUNTIFS(Orders_Log!$C:$C,$A614,Orders_Log!$P:$P,"Returned to Picker"))</f>
        <v/>
      </c>
    </row>
    <row r="615">
      <c r="B615">
        <f>IF($A615="","",COUNTIFS(Orders_Log!$C:$C,$A615,Orders_Log!$B:$B,"&lt;&gt;"))</f>
        <v/>
      </c>
      <c r="C615">
        <f>IF($A615="","",COUNTIFS(Orders_Log!$C:$C,$A615,Orders_Log!$M:$M,"Yes"))</f>
        <v/>
      </c>
      <c r="D615" s="5">
        <f>IF(B615=0,0,C615/B615)</f>
        <v/>
      </c>
      <c r="E615">
        <f>IF($A615="","",SUMIFS(Orders_Log!$I:$I,Orders_Log!$C:$C,$A615))</f>
        <v/>
      </c>
      <c r="F615">
        <f>IF(B615=0,0,E615/B615)</f>
        <v/>
      </c>
      <c r="G615">
        <f>IF($A615="","",IFERROR(AVERAGEIFS(Orders_Log!$H:$H,Orders_Log!$C:$C,$A615,Orders_Log!$H:$H,"&gt;0"),0))</f>
        <v/>
      </c>
      <c r="H615">
        <f>IF($A615="","",COUNTIFS(Orders_Log!$C:$C,$A615,Orders_Log!$P:$P,"Returned to Picker"))</f>
        <v/>
      </c>
    </row>
    <row r="616">
      <c r="B616">
        <f>IF($A616="","",COUNTIFS(Orders_Log!$C:$C,$A616,Orders_Log!$B:$B,"&lt;&gt;"))</f>
        <v/>
      </c>
      <c r="C616">
        <f>IF($A616="","",COUNTIFS(Orders_Log!$C:$C,$A616,Orders_Log!$M:$M,"Yes"))</f>
        <v/>
      </c>
      <c r="D616" s="5">
        <f>IF(B616=0,0,C616/B616)</f>
        <v/>
      </c>
      <c r="E616">
        <f>IF($A616="","",SUMIFS(Orders_Log!$I:$I,Orders_Log!$C:$C,$A616))</f>
        <v/>
      </c>
      <c r="F616">
        <f>IF(B616=0,0,E616/B616)</f>
        <v/>
      </c>
      <c r="G616">
        <f>IF($A616="","",IFERROR(AVERAGEIFS(Orders_Log!$H:$H,Orders_Log!$C:$C,$A616,Orders_Log!$H:$H,"&gt;0"),0))</f>
        <v/>
      </c>
      <c r="H616">
        <f>IF($A616="","",COUNTIFS(Orders_Log!$C:$C,$A616,Orders_Log!$P:$P,"Returned to Picker"))</f>
        <v/>
      </c>
    </row>
    <row r="617">
      <c r="B617">
        <f>IF($A617="","",COUNTIFS(Orders_Log!$C:$C,$A617,Orders_Log!$B:$B,"&lt;&gt;"))</f>
        <v/>
      </c>
      <c r="C617">
        <f>IF($A617="","",COUNTIFS(Orders_Log!$C:$C,$A617,Orders_Log!$M:$M,"Yes"))</f>
        <v/>
      </c>
      <c r="D617" s="5">
        <f>IF(B617=0,0,C617/B617)</f>
        <v/>
      </c>
      <c r="E617">
        <f>IF($A617="","",SUMIFS(Orders_Log!$I:$I,Orders_Log!$C:$C,$A617))</f>
        <v/>
      </c>
      <c r="F617">
        <f>IF(B617=0,0,E617/B617)</f>
        <v/>
      </c>
      <c r="G617">
        <f>IF($A617="","",IFERROR(AVERAGEIFS(Orders_Log!$H:$H,Orders_Log!$C:$C,$A617,Orders_Log!$H:$H,"&gt;0"),0))</f>
        <v/>
      </c>
      <c r="H617">
        <f>IF($A617="","",COUNTIFS(Orders_Log!$C:$C,$A617,Orders_Log!$P:$P,"Returned to Picker"))</f>
        <v/>
      </c>
    </row>
    <row r="618">
      <c r="B618">
        <f>IF($A618="","",COUNTIFS(Orders_Log!$C:$C,$A618,Orders_Log!$B:$B,"&lt;&gt;"))</f>
        <v/>
      </c>
      <c r="C618">
        <f>IF($A618="","",COUNTIFS(Orders_Log!$C:$C,$A618,Orders_Log!$M:$M,"Yes"))</f>
        <v/>
      </c>
      <c r="D618" s="5">
        <f>IF(B618=0,0,C618/B618)</f>
        <v/>
      </c>
      <c r="E618">
        <f>IF($A618="","",SUMIFS(Orders_Log!$I:$I,Orders_Log!$C:$C,$A618))</f>
        <v/>
      </c>
      <c r="F618">
        <f>IF(B618=0,0,E618/B618)</f>
        <v/>
      </c>
      <c r="G618">
        <f>IF($A618="","",IFERROR(AVERAGEIFS(Orders_Log!$H:$H,Orders_Log!$C:$C,$A618,Orders_Log!$H:$H,"&gt;0"),0))</f>
        <v/>
      </c>
      <c r="H618">
        <f>IF($A618="","",COUNTIFS(Orders_Log!$C:$C,$A618,Orders_Log!$P:$P,"Returned to Picker"))</f>
        <v/>
      </c>
    </row>
    <row r="619">
      <c r="B619">
        <f>IF($A619="","",COUNTIFS(Orders_Log!$C:$C,$A619,Orders_Log!$B:$B,"&lt;&gt;"))</f>
        <v/>
      </c>
      <c r="C619">
        <f>IF($A619="","",COUNTIFS(Orders_Log!$C:$C,$A619,Orders_Log!$M:$M,"Yes"))</f>
        <v/>
      </c>
      <c r="D619" s="5">
        <f>IF(B619=0,0,C619/B619)</f>
        <v/>
      </c>
      <c r="E619">
        <f>IF($A619="","",SUMIFS(Orders_Log!$I:$I,Orders_Log!$C:$C,$A619))</f>
        <v/>
      </c>
      <c r="F619">
        <f>IF(B619=0,0,E619/B619)</f>
        <v/>
      </c>
      <c r="G619">
        <f>IF($A619="","",IFERROR(AVERAGEIFS(Orders_Log!$H:$H,Orders_Log!$C:$C,$A619,Orders_Log!$H:$H,"&gt;0"),0))</f>
        <v/>
      </c>
      <c r="H619">
        <f>IF($A619="","",COUNTIFS(Orders_Log!$C:$C,$A619,Orders_Log!$P:$P,"Returned to Picker"))</f>
        <v/>
      </c>
    </row>
    <row r="620">
      <c r="B620">
        <f>IF($A620="","",COUNTIFS(Orders_Log!$C:$C,$A620,Orders_Log!$B:$B,"&lt;&gt;"))</f>
        <v/>
      </c>
      <c r="C620">
        <f>IF($A620="","",COUNTIFS(Orders_Log!$C:$C,$A620,Orders_Log!$M:$M,"Yes"))</f>
        <v/>
      </c>
      <c r="D620" s="5">
        <f>IF(B620=0,0,C620/B620)</f>
        <v/>
      </c>
      <c r="E620">
        <f>IF($A620="","",SUMIFS(Orders_Log!$I:$I,Orders_Log!$C:$C,$A620))</f>
        <v/>
      </c>
      <c r="F620">
        <f>IF(B620=0,0,E620/B620)</f>
        <v/>
      </c>
      <c r="G620">
        <f>IF($A620="","",IFERROR(AVERAGEIFS(Orders_Log!$H:$H,Orders_Log!$C:$C,$A620,Orders_Log!$H:$H,"&gt;0"),0))</f>
        <v/>
      </c>
      <c r="H620">
        <f>IF($A620="","",COUNTIFS(Orders_Log!$C:$C,$A620,Orders_Log!$P:$P,"Returned to Picker"))</f>
        <v/>
      </c>
    </row>
    <row r="621">
      <c r="B621">
        <f>IF($A621="","",COUNTIFS(Orders_Log!$C:$C,$A621,Orders_Log!$B:$B,"&lt;&gt;"))</f>
        <v/>
      </c>
      <c r="C621">
        <f>IF($A621="","",COUNTIFS(Orders_Log!$C:$C,$A621,Orders_Log!$M:$M,"Yes"))</f>
        <v/>
      </c>
      <c r="D621" s="5">
        <f>IF(B621=0,0,C621/B621)</f>
        <v/>
      </c>
      <c r="E621">
        <f>IF($A621="","",SUMIFS(Orders_Log!$I:$I,Orders_Log!$C:$C,$A621))</f>
        <v/>
      </c>
      <c r="F621">
        <f>IF(B621=0,0,E621/B621)</f>
        <v/>
      </c>
      <c r="G621">
        <f>IF($A621="","",IFERROR(AVERAGEIFS(Orders_Log!$H:$H,Orders_Log!$C:$C,$A621,Orders_Log!$H:$H,"&gt;0"),0))</f>
        <v/>
      </c>
      <c r="H621">
        <f>IF($A621="","",COUNTIFS(Orders_Log!$C:$C,$A621,Orders_Log!$P:$P,"Returned to Picker"))</f>
        <v/>
      </c>
    </row>
    <row r="622">
      <c r="B622">
        <f>IF($A622="","",COUNTIFS(Orders_Log!$C:$C,$A622,Orders_Log!$B:$B,"&lt;&gt;"))</f>
        <v/>
      </c>
      <c r="C622">
        <f>IF($A622="","",COUNTIFS(Orders_Log!$C:$C,$A622,Orders_Log!$M:$M,"Yes"))</f>
        <v/>
      </c>
      <c r="D622" s="5">
        <f>IF(B622=0,0,C622/B622)</f>
        <v/>
      </c>
      <c r="E622">
        <f>IF($A622="","",SUMIFS(Orders_Log!$I:$I,Orders_Log!$C:$C,$A622))</f>
        <v/>
      </c>
      <c r="F622">
        <f>IF(B622=0,0,E622/B622)</f>
        <v/>
      </c>
      <c r="G622">
        <f>IF($A622="","",IFERROR(AVERAGEIFS(Orders_Log!$H:$H,Orders_Log!$C:$C,$A622,Orders_Log!$H:$H,"&gt;0"),0))</f>
        <v/>
      </c>
      <c r="H622">
        <f>IF($A622="","",COUNTIFS(Orders_Log!$C:$C,$A622,Orders_Log!$P:$P,"Returned to Picker"))</f>
        <v/>
      </c>
    </row>
    <row r="623">
      <c r="B623">
        <f>IF($A623="","",COUNTIFS(Orders_Log!$C:$C,$A623,Orders_Log!$B:$B,"&lt;&gt;"))</f>
        <v/>
      </c>
      <c r="C623">
        <f>IF($A623="","",COUNTIFS(Orders_Log!$C:$C,$A623,Orders_Log!$M:$M,"Yes"))</f>
        <v/>
      </c>
      <c r="D623" s="5">
        <f>IF(B623=0,0,C623/B623)</f>
        <v/>
      </c>
      <c r="E623">
        <f>IF($A623="","",SUMIFS(Orders_Log!$I:$I,Orders_Log!$C:$C,$A623))</f>
        <v/>
      </c>
      <c r="F623">
        <f>IF(B623=0,0,E623/B623)</f>
        <v/>
      </c>
      <c r="G623">
        <f>IF($A623="","",IFERROR(AVERAGEIFS(Orders_Log!$H:$H,Orders_Log!$C:$C,$A623,Orders_Log!$H:$H,"&gt;0"),0))</f>
        <v/>
      </c>
      <c r="H623">
        <f>IF($A623="","",COUNTIFS(Orders_Log!$C:$C,$A623,Orders_Log!$P:$P,"Returned to Picker"))</f>
        <v/>
      </c>
    </row>
    <row r="624">
      <c r="B624">
        <f>IF($A624="","",COUNTIFS(Orders_Log!$C:$C,$A624,Orders_Log!$B:$B,"&lt;&gt;"))</f>
        <v/>
      </c>
      <c r="C624">
        <f>IF($A624="","",COUNTIFS(Orders_Log!$C:$C,$A624,Orders_Log!$M:$M,"Yes"))</f>
        <v/>
      </c>
      <c r="D624" s="5">
        <f>IF(B624=0,0,C624/B624)</f>
        <v/>
      </c>
      <c r="E624">
        <f>IF($A624="","",SUMIFS(Orders_Log!$I:$I,Orders_Log!$C:$C,$A624))</f>
        <v/>
      </c>
      <c r="F624">
        <f>IF(B624=0,0,E624/B624)</f>
        <v/>
      </c>
      <c r="G624">
        <f>IF($A624="","",IFERROR(AVERAGEIFS(Orders_Log!$H:$H,Orders_Log!$C:$C,$A624,Orders_Log!$H:$H,"&gt;0"),0))</f>
        <v/>
      </c>
      <c r="H624">
        <f>IF($A624="","",COUNTIFS(Orders_Log!$C:$C,$A624,Orders_Log!$P:$P,"Returned to Picker"))</f>
        <v/>
      </c>
    </row>
    <row r="625">
      <c r="B625">
        <f>IF($A625="","",COUNTIFS(Orders_Log!$C:$C,$A625,Orders_Log!$B:$B,"&lt;&gt;"))</f>
        <v/>
      </c>
      <c r="C625">
        <f>IF($A625="","",COUNTIFS(Orders_Log!$C:$C,$A625,Orders_Log!$M:$M,"Yes"))</f>
        <v/>
      </c>
      <c r="D625" s="5">
        <f>IF(B625=0,0,C625/B625)</f>
        <v/>
      </c>
      <c r="E625">
        <f>IF($A625="","",SUMIFS(Orders_Log!$I:$I,Orders_Log!$C:$C,$A625))</f>
        <v/>
      </c>
      <c r="F625">
        <f>IF(B625=0,0,E625/B625)</f>
        <v/>
      </c>
      <c r="G625">
        <f>IF($A625="","",IFERROR(AVERAGEIFS(Orders_Log!$H:$H,Orders_Log!$C:$C,$A625,Orders_Log!$H:$H,"&gt;0"),0))</f>
        <v/>
      </c>
      <c r="H625">
        <f>IF($A625="","",COUNTIFS(Orders_Log!$C:$C,$A625,Orders_Log!$P:$P,"Returned to Picker"))</f>
        <v/>
      </c>
    </row>
    <row r="626">
      <c r="B626">
        <f>IF($A626="","",COUNTIFS(Orders_Log!$C:$C,$A626,Orders_Log!$B:$B,"&lt;&gt;"))</f>
        <v/>
      </c>
      <c r="C626">
        <f>IF($A626="","",COUNTIFS(Orders_Log!$C:$C,$A626,Orders_Log!$M:$M,"Yes"))</f>
        <v/>
      </c>
      <c r="D626" s="5">
        <f>IF(B626=0,0,C626/B626)</f>
        <v/>
      </c>
      <c r="E626">
        <f>IF($A626="","",SUMIFS(Orders_Log!$I:$I,Orders_Log!$C:$C,$A626))</f>
        <v/>
      </c>
      <c r="F626">
        <f>IF(B626=0,0,E626/B626)</f>
        <v/>
      </c>
      <c r="G626">
        <f>IF($A626="","",IFERROR(AVERAGEIFS(Orders_Log!$H:$H,Orders_Log!$C:$C,$A626,Orders_Log!$H:$H,"&gt;0"),0))</f>
        <v/>
      </c>
      <c r="H626">
        <f>IF($A626="","",COUNTIFS(Orders_Log!$C:$C,$A626,Orders_Log!$P:$P,"Returned to Picker"))</f>
        <v/>
      </c>
    </row>
    <row r="627">
      <c r="B627">
        <f>IF($A627="","",COUNTIFS(Orders_Log!$C:$C,$A627,Orders_Log!$B:$B,"&lt;&gt;"))</f>
        <v/>
      </c>
      <c r="C627">
        <f>IF($A627="","",COUNTIFS(Orders_Log!$C:$C,$A627,Orders_Log!$M:$M,"Yes"))</f>
        <v/>
      </c>
      <c r="D627" s="5">
        <f>IF(B627=0,0,C627/B627)</f>
        <v/>
      </c>
      <c r="E627">
        <f>IF($A627="","",SUMIFS(Orders_Log!$I:$I,Orders_Log!$C:$C,$A627))</f>
        <v/>
      </c>
      <c r="F627">
        <f>IF(B627=0,0,E627/B627)</f>
        <v/>
      </c>
      <c r="G627">
        <f>IF($A627="","",IFERROR(AVERAGEIFS(Orders_Log!$H:$H,Orders_Log!$C:$C,$A627,Orders_Log!$H:$H,"&gt;0"),0))</f>
        <v/>
      </c>
      <c r="H627">
        <f>IF($A627="","",COUNTIFS(Orders_Log!$C:$C,$A627,Orders_Log!$P:$P,"Returned to Picker"))</f>
        <v/>
      </c>
    </row>
    <row r="628">
      <c r="B628">
        <f>IF($A628="","",COUNTIFS(Orders_Log!$C:$C,$A628,Orders_Log!$B:$B,"&lt;&gt;"))</f>
        <v/>
      </c>
      <c r="C628">
        <f>IF($A628="","",COUNTIFS(Orders_Log!$C:$C,$A628,Orders_Log!$M:$M,"Yes"))</f>
        <v/>
      </c>
      <c r="D628" s="5">
        <f>IF(B628=0,0,C628/B628)</f>
        <v/>
      </c>
      <c r="E628">
        <f>IF($A628="","",SUMIFS(Orders_Log!$I:$I,Orders_Log!$C:$C,$A628))</f>
        <v/>
      </c>
      <c r="F628">
        <f>IF(B628=0,0,E628/B628)</f>
        <v/>
      </c>
      <c r="G628">
        <f>IF($A628="","",IFERROR(AVERAGEIFS(Orders_Log!$H:$H,Orders_Log!$C:$C,$A628,Orders_Log!$H:$H,"&gt;0"),0))</f>
        <v/>
      </c>
      <c r="H628">
        <f>IF($A628="","",COUNTIFS(Orders_Log!$C:$C,$A628,Orders_Log!$P:$P,"Returned to Picker"))</f>
        <v/>
      </c>
    </row>
    <row r="629">
      <c r="B629">
        <f>IF($A629="","",COUNTIFS(Orders_Log!$C:$C,$A629,Orders_Log!$B:$B,"&lt;&gt;"))</f>
        <v/>
      </c>
      <c r="C629">
        <f>IF($A629="","",COUNTIFS(Orders_Log!$C:$C,$A629,Orders_Log!$M:$M,"Yes"))</f>
        <v/>
      </c>
      <c r="D629" s="5">
        <f>IF(B629=0,0,C629/B629)</f>
        <v/>
      </c>
      <c r="E629">
        <f>IF($A629="","",SUMIFS(Orders_Log!$I:$I,Orders_Log!$C:$C,$A629))</f>
        <v/>
      </c>
      <c r="F629">
        <f>IF(B629=0,0,E629/B629)</f>
        <v/>
      </c>
      <c r="G629">
        <f>IF($A629="","",IFERROR(AVERAGEIFS(Orders_Log!$H:$H,Orders_Log!$C:$C,$A629,Orders_Log!$H:$H,"&gt;0"),0))</f>
        <v/>
      </c>
      <c r="H629">
        <f>IF($A629="","",COUNTIFS(Orders_Log!$C:$C,$A629,Orders_Log!$P:$P,"Returned to Picker"))</f>
        <v/>
      </c>
    </row>
    <row r="630">
      <c r="B630">
        <f>IF($A630="","",COUNTIFS(Orders_Log!$C:$C,$A630,Orders_Log!$B:$B,"&lt;&gt;"))</f>
        <v/>
      </c>
      <c r="C630">
        <f>IF($A630="","",COUNTIFS(Orders_Log!$C:$C,$A630,Orders_Log!$M:$M,"Yes"))</f>
        <v/>
      </c>
      <c r="D630" s="5">
        <f>IF(B630=0,0,C630/B630)</f>
        <v/>
      </c>
      <c r="E630">
        <f>IF($A630="","",SUMIFS(Orders_Log!$I:$I,Orders_Log!$C:$C,$A630))</f>
        <v/>
      </c>
      <c r="F630">
        <f>IF(B630=0,0,E630/B630)</f>
        <v/>
      </c>
      <c r="G630">
        <f>IF($A630="","",IFERROR(AVERAGEIFS(Orders_Log!$H:$H,Orders_Log!$C:$C,$A630,Orders_Log!$H:$H,"&gt;0"),0))</f>
        <v/>
      </c>
      <c r="H630">
        <f>IF($A630="","",COUNTIFS(Orders_Log!$C:$C,$A630,Orders_Log!$P:$P,"Returned to Picker"))</f>
        <v/>
      </c>
    </row>
    <row r="631">
      <c r="B631">
        <f>IF($A631="","",COUNTIFS(Orders_Log!$C:$C,$A631,Orders_Log!$B:$B,"&lt;&gt;"))</f>
        <v/>
      </c>
      <c r="C631">
        <f>IF($A631="","",COUNTIFS(Orders_Log!$C:$C,$A631,Orders_Log!$M:$M,"Yes"))</f>
        <v/>
      </c>
      <c r="D631" s="5">
        <f>IF(B631=0,0,C631/B631)</f>
        <v/>
      </c>
      <c r="E631">
        <f>IF($A631="","",SUMIFS(Orders_Log!$I:$I,Orders_Log!$C:$C,$A631))</f>
        <v/>
      </c>
      <c r="F631">
        <f>IF(B631=0,0,E631/B631)</f>
        <v/>
      </c>
      <c r="G631">
        <f>IF($A631="","",IFERROR(AVERAGEIFS(Orders_Log!$H:$H,Orders_Log!$C:$C,$A631,Orders_Log!$H:$H,"&gt;0"),0))</f>
        <v/>
      </c>
      <c r="H631">
        <f>IF($A631="","",COUNTIFS(Orders_Log!$C:$C,$A631,Orders_Log!$P:$P,"Returned to Picker"))</f>
        <v/>
      </c>
    </row>
    <row r="632">
      <c r="B632">
        <f>IF($A632="","",COUNTIFS(Orders_Log!$C:$C,$A632,Orders_Log!$B:$B,"&lt;&gt;"))</f>
        <v/>
      </c>
      <c r="C632">
        <f>IF($A632="","",COUNTIFS(Orders_Log!$C:$C,$A632,Orders_Log!$M:$M,"Yes"))</f>
        <v/>
      </c>
      <c r="D632" s="5">
        <f>IF(B632=0,0,C632/B632)</f>
        <v/>
      </c>
      <c r="E632">
        <f>IF($A632="","",SUMIFS(Orders_Log!$I:$I,Orders_Log!$C:$C,$A632))</f>
        <v/>
      </c>
      <c r="F632">
        <f>IF(B632=0,0,E632/B632)</f>
        <v/>
      </c>
      <c r="G632">
        <f>IF($A632="","",IFERROR(AVERAGEIFS(Orders_Log!$H:$H,Orders_Log!$C:$C,$A632,Orders_Log!$H:$H,"&gt;0"),0))</f>
        <v/>
      </c>
      <c r="H632">
        <f>IF($A632="","",COUNTIFS(Orders_Log!$C:$C,$A632,Orders_Log!$P:$P,"Returned to Picker"))</f>
        <v/>
      </c>
    </row>
    <row r="633">
      <c r="B633">
        <f>IF($A633="","",COUNTIFS(Orders_Log!$C:$C,$A633,Orders_Log!$B:$B,"&lt;&gt;"))</f>
        <v/>
      </c>
      <c r="C633">
        <f>IF($A633="","",COUNTIFS(Orders_Log!$C:$C,$A633,Orders_Log!$M:$M,"Yes"))</f>
        <v/>
      </c>
      <c r="D633" s="5">
        <f>IF(B633=0,0,C633/B633)</f>
        <v/>
      </c>
      <c r="E633">
        <f>IF($A633="","",SUMIFS(Orders_Log!$I:$I,Orders_Log!$C:$C,$A633))</f>
        <v/>
      </c>
      <c r="F633">
        <f>IF(B633=0,0,E633/B633)</f>
        <v/>
      </c>
      <c r="G633">
        <f>IF($A633="","",IFERROR(AVERAGEIFS(Orders_Log!$H:$H,Orders_Log!$C:$C,$A633,Orders_Log!$H:$H,"&gt;0"),0))</f>
        <v/>
      </c>
      <c r="H633">
        <f>IF($A633="","",COUNTIFS(Orders_Log!$C:$C,$A633,Orders_Log!$P:$P,"Returned to Picker"))</f>
        <v/>
      </c>
    </row>
    <row r="634">
      <c r="B634">
        <f>IF($A634="","",COUNTIFS(Orders_Log!$C:$C,$A634,Orders_Log!$B:$B,"&lt;&gt;"))</f>
        <v/>
      </c>
      <c r="C634">
        <f>IF($A634="","",COUNTIFS(Orders_Log!$C:$C,$A634,Orders_Log!$M:$M,"Yes"))</f>
        <v/>
      </c>
      <c r="D634" s="5">
        <f>IF(B634=0,0,C634/B634)</f>
        <v/>
      </c>
      <c r="E634">
        <f>IF($A634="","",SUMIFS(Orders_Log!$I:$I,Orders_Log!$C:$C,$A634))</f>
        <v/>
      </c>
      <c r="F634">
        <f>IF(B634=0,0,E634/B634)</f>
        <v/>
      </c>
      <c r="G634">
        <f>IF($A634="","",IFERROR(AVERAGEIFS(Orders_Log!$H:$H,Orders_Log!$C:$C,$A634,Orders_Log!$H:$H,"&gt;0"),0))</f>
        <v/>
      </c>
      <c r="H634">
        <f>IF($A634="","",COUNTIFS(Orders_Log!$C:$C,$A634,Orders_Log!$P:$P,"Returned to Picker"))</f>
        <v/>
      </c>
    </row>
    <row r="635">
      <c r="B635">
        <f>IF($A635="","",COUNTIFS(Orders_Log!$C:$C,$A635,Orders_Log!$B:$B,"&lt;&gt;"))</f>
        <v/>
      </c>
      <c r="C635">
        <f>IF($A635="","",COUNTIFS(Orders_Log!$C:$C,$A635,Orders_Log!$M:$M,"Yes"))</f>
        <v/>
      </c>
      <c r="D635" s="5">
        <f>IF(B635=0,0,C635/B635)</f>
        <v/>
      </c>
      <c r="E635">
        <f>IF($A635="","",SUMIFS(Orders_Log!$I:$I,Orders_Log!$C:$C,$A635))</f>
        <v/>
      </c>
      <c r="F635">
        <f>IF(B635=0,0,E635/B635)</f>
        <v/>
      </c>
      <c r="G635">
        <f>IF($A635="","",IFERROR(AVERAGEIFS(Orders_Log!$H:$H,Orders_Log!$C:$C,$A635,Orders_Log!$H:$H,"&gt;0"),0))</f>
        <v/>
      </c>
      <c r="H635">
        <f>IF($A635="","",COUNTIFS(Orders_Log!$C:$C,$A635,Orders_Log!$P:$P,"Returned to Picker"))</f>
        <v/>
      </c>
    </row>
    <row r="636">
      <c r="B636">
        <f>IF($A636="","",COUNTIFS(Orders_Log!$C:$C,$A636,Orders_Log!$B:$B,"&lt;&gt;"))</f>
        <v/>
      </c>
      <c r="C636">
        <f>IF($A636="","",COUNTIFS(Orders_Log!$C:$C,$A636,Orders_Log!$M:$M,"Yes"))</f>
        <v/>
      </c>
      <c r="D636" s="5">
        <f>IF(B636=0,0,C636/B636)</f>
        <v/>
      </c>
      <c r="E636">
        <f>IF($A636="","",SUMIFS(Orders_Log!$I:$I,Orders_Log!$C:$C,$A636))</f>
        <v/>
      </c>
      <c r="F636">
        <f>IF(B636=0,0,E636/B636)</f>
        <v/>
      </c>
      <c r="G636">
        <f>IF($A636="","",IFERROR(AVERAGEIFS(Orders_Log!$H:$H,Orders_Log!$C:$C,$A636,Orders_Log!$H:$H,"&gt;0"),0))</f>
        <v/>
      </c>
      <c r="H636">
        <f>IF($A636="","",COUNTIFS(Orders_Log!$C:$C,$A636,Orders_Log!$P:$P,"Returned to Picker"))</f>
        <v/>
      </c>
    </row>
    <row r="637">
      <c r="B637">
        <f>IF($A637="","",COUNTIFS(Orders_Log!$C:$C,$A637,Orders_Log!$B:$B,"&lt;&gt;"))</f>
        <v/>
      </c>
      <c r="C637">
        <f>IF($A637="","",COUNTIFS(Orders_Log!$C:$C,$A637,Orders_Log!$M:$M,"Yes"))</f>
        <v/>
      </c>
      <c r="D637" s="5">
        <f>IF(B637=0,0,C637/B637)</f>
        <v/>
      </c>
      <c r="E637">
        <f>IF($A637="","",SUMIFS(Orders_Log!$I:$I,Orders_Log!$C:$C,$A637))</f>
        <v/>
      </c>
      <c r="F637">
        <f>IF(B637=0,0,E637/B637)</f>
        <v/>
      </c>
      <c r="G637">
        <f>IF($A637="","",IFERROR(AVERAGEIFS(Orders_Log!$H:$H,Orders_Log!$C:$C,$A637,Orders_Log!$H:$H,"&gt;0"),0))</f>
        <v/>
      </c>
      <c r="H637">
        <f>IF($A637="","",COUNTIFS(Orders_Log!$C:$C,$A637,Orders_Log!$P:$P,"Returned to Picker"))</f>
        <v/>
      </c>
    </row>
    <row r="638">
      <c r="B638">
        <f>IF($A638="","",COUNTIFS(Orders_Log!$C:$C,$A638,Orders_Log!$B:$B,"&lt;&gt;"))</f>
        <v/>
      </c>
      <c r="C638">
        <f>IF($A638="","",COUNTIFS(Orders_Log!$C:$C,$A638,Orders_Log!$M:$M,"Yes"))</f>
        <v/>
      </c>
      <c r="D638" s="5">
        <f>IF(B638=0,0,C638/B638)</f>
        <v/>
      </c>
      <c r="E638">
        <f>IF($A638="","",SUMIFS(Orders_Log!$I:$I,Orders_Log!$C:$C,$A638))</f>
        <v/>
      </c>
      <c r="F638">
        <f>IF(B638=0,0,E638/B638)</f>
        <v/>
      </c>
      <c r="G638">
        <f>IF($A638="","",IFERROR(AVERAGEIFS(Orders_Log!$H:$H,Orders_Log!$C:$C,$A638,Orders_Log!$H:$H,"&gt;0"),0))</f>
        <v/>
      </c>
      <c r="H638">
        <f>IF($A638="","",COUNTIFS(Orders_Log!$C:$C,$A638,Orders_Log!$P:$P,"Returned to Picker"))</f>
        <v/>
      </c>
    </row>
    <row r="639">
      <c r="B639">
        <f>IF($A639="","",COUNTIFS(Orders_Log!$C:$C,$A639,Orders_Log!$B:$B,"&lt;&gt;"))</f>
        <v/>
      </c>
      <c r="C639">
        <f>IF($A639="","",COUNTIFS(Orders_Log!$C:$C,$A639,Orders_Log!$M:$M,"Yes"))</f>
        <v/>
      </c>
      <c r="D639" s="5">
        <f>IF(B639=0,0,C639/B639)</f>
        <v/>
      </c>
      <c r="E639">
        <f>IF($A639="","",SUMIFS(Orders_Log!$I:$I,Orders_Log!$C:$C,$A639))</f>
        <v/>
      </c>
      <c r="F639">
        <f>IF(B639=0,0,E639/B639)</f>
        <v/>
      </c>
      <c r="G639">
        <f>IF($A639="","",IFERROR(AVERAGEIFS(Orders_Log!$H:$H,Orders_Log!$C:$C,$A639,Orders_Log!$H:$H,"&gt;0"),0))</f>
        <v/>
      </c>
      <c r="H639">
        <f>IF($A639="","",COUNTIFS(Orders_Log!$C:$C,$A639,Orders_Log!$P:$P,"Returned to Picker"))</f>
        <v/>
      </c>
    </row>
    <row r="640">
      <c r="B640">
        <f>IF($A640="","",COUNTIFS(Orders_Log!$C:$C,$A640,Orders_Log!$B:$B,"&lt;&gt;"))</f>
        <v/>
      </c>
      <c r="C640">
        <f>IF($A640="","",COUNTIFS(Orders_Log!$C:$C,$A640,Orders_Log!$M:$M,"Yes"))</f>
        <v/>
      </c>
      <c r="D640" s="5">
        <f>IF(B640=0,0,C640/B640)</f>
        <v/>
      </c>
      <c r="E640">
        <f>IF($A640="","",SUMIFS(Orders_Log!$I:$I,Orders_Log!$C:$C,$A640))</f>
        <v/>
      </c>
      <c r="F640">
        <f>IF(B640=0,0,E640/B640)</f>
        <v/>
      </c>
      <c r="G640">
        <f>IF($A640="","",IFERROR(AVERAGEIFS(Orders_Log!$H:$H,Orders_Log!$C:$C,$A640,Orders_Log!$H:$H,"&gt;0"),0))</f>
        <v/>
      </c>
      <c r="H640">
        <f>IF($A640="","",COUNTIFS(Orders_Log!$C:$C,$A640,Orders_Log!$P:$P,"Returned to Picker"))</f>
        <v/>
      </c>
    </row>
    <row r="641">
      <c r="B641">
        <f>IF($A641="","",COUNTIFS(Orders_Log!$C:$C,$A641,Orders_Log!$B:$B,"&lt;&gt;"))</f>
        <v/>
      </c>
      <c r="C641">
        <f>IF($A641="","",COUNTIFS(Orders_Log!$C:$C,$A641,Orders_Log!$M:$M,"Yes"))</f>
        <v/>
      </c>
      <c r="D641" s="5">
        <f>IF(B641=0,0,C641/B641)</f>
        <v/>
      </c>
      <c r="E641">
        <f>IF($A641="","",SUMIFS(Orders_Log!$I:$I,Orders_Log!$C:$C,$A641))</f>
        <v/>
      </c>
      <c r="F641">
        <f>IF(B641=0,0,E641/B641)</f>
        <v/>
      </c>
      <c r="G641">
        <f>IF($A641="","",IFERROR(AVERAGEIFS(Orders_Log!$H:$H,Orders_Log!$C:$C,$A641,Orders_Log!$H:$H,"&gt;0"),0))</f>
        <v/>
      </c>
      <c r="H641">
        <f>IF($A641="","",COUNTIFS(Orders_Log!$C:$C,$A641,Orders_Log!$P:$P,"Returned to Picker"))</f>
        <v/>
      </c>
    </row>
    <row r="642">
      <c r="B642">
        <f>IF($A642="","",COUNTIFS(Orders_Log!$C:$C,$A642,Orders_Log!$B:$B,"&lt;&gt;"))</f>
        <v/>
      </c>
      <c r="C642">
        <f>IF($A642="","",COUNTIFS(Orders_Log!$C:$C,$A642,Orders_Log!$M:$M,"Yes"))</f>
        <v/>
      </c>
      <c r="D642" s="5">
        <f>IF(B642=0,0,C642/B642)</f>
        <v/>
      </c>
      <c r="E642">
        <f>IF($A642="","",SUMIFS(Orders_Log!$I:$I,Orders_Log!$C:$C,$A642))</f>
        <v/>
      </c>
      <c r="F642">
        <f>IF(B642=0,0,E642/B642)</f>
        <v/>
      </c>
      <c r="G642">
        <f>IF($A642="","",IFERROR(AVERAGEIFS(Orders_Log!$H:$H,Orders_Log!$C:$C,$A642,Orders_Log!$H:$H,"&gt;0"),0))</f>
        <v/>
      </c>
      <c r="H642">
        <f>IF($A642="","",COUNTIFS(Orders_Log!$C:$C,$A642,Orders_Log!$P:$P,"Returned to Picker"))</f>
        <v/>
      </c>
    </row>
    <row r="643">
      <c r="B643">
        <f>IF($A643="","",COUNTIFS(Orders_Log!$C:$C,$A643,Orders_Log!$B:$B,"&lt;&gt;"))</f>
        <v/>
      </c>
      <c r="C643">
        <f>IF($A643="","",COUNTIFS(Orders_Log!$C:$C,$A643,Orders_Log!$M:$M,"Yes"))</f>
        <v/>
      </c>
      <c r="D643" s="5">
        <f>IF(B643=0,0,C643/B643)</f>
        <v/>
      </c>
      <c r="E643">
        <f>IF($A643="","",SUMIFS(Orders_Log!$I:$I,Orders_Log!$C:$C,$A643))</f>
        <v/>
      </c>
      <c r="F643">
        <f>IF(B643=0,0,E643/B643)</f>
        <v/>
      </c>
      <c r="G643">
        <f>IF($A643="","",IFERROR(AVERAGEIFS(Orders_Log!$H:$H,Orders_Log!$C:$C,$A643,Orders_Log!$H:$H,"&gt;0"),0))</f>
        <v/>
      </c>
      <c r="H643">
        <f>IF($A643="","",COUNTIFS(Orders_Log!$C:$C,$A643,Orders_Log!$P:$P,"Returned to Picker"))</f>
        <v/>
      </c>
    </row>
    <row r="644">
      <c r="B644">
        <f>IF($A644="","",COUNTIFS(Orders_Log!$C:$C,$A644,Orders_Log!$B:$B,"&lt;&gt;"))</f>
        <v/>
      </c>
      <c r="C644">
        <f>IF($A644="","",COUNTIFS(Orders_Log!$C:$C,$A644,Orders_Log!$M:$M,"Yes"))</f>
        <v/>
      </c>
      <c r="D644" s="5">
        <f>IF(B644=0,0,C644/B644)</f>
        <v/>
      </c>
      <c r="E644">
        <f>IF($A644="","",SUMIFS(Orders_Log!$I:$I,Orders_Log!$C:$C,$A644))</f>
        <v/>
      </c>
      <c r="F644">
        <f>IF(B644=0,0,E644/B644)</f>
        <v/>
      </c>
      <c r="G644">
        <f>IF($A644="","",IFERROR(AVERAGEIFS(Orders_Log!$H:$H,Orders_Log!$C:$C,$A644,Orders_Log!$H:$H,"&gt;0"),0))</f>
        <v/>
      </c>
      <c r="H644">
        <f>IF($A644="","",COUNTIFS(Orders_Log!$C:$C,$A644,Orders_Log!$P:$P,"Returned to Picker"))</f>
        <v/>
      </c>
    </row>
    <row r="645">
      <c r="B645">
        <f>IF($A645="","",COUNTIFS(Orders_Log!$C:$C,$A645,Orders_Log!$B:$B,"&lt;&gt;"))</f>
        <v/>
      </c>
      <c r="C645">
        <f>IF($A645="","",COUNTIFS(Orders_Log!$C:$C,$A645,Orders_Log!$M:$M,"Yes"))</f>
        <v/>
      </c>
      <c r="D645" s="5">
        <f>IF(B645=0,0,C645/B645)</f>
        <v/>
      </c>
      <c r="E645">
        <f>IF($A645="","",SUMIFS(Orders_Log!$I:$I,Orders_Log!$C:$C,$A645))</f>
        <v/>
      </c>
      <c r="F645">
        <f>IF(B645=0,0,E645/B645)</f>
        <v/>
      </c>
      <c r="G645">
        <f>IF($A645="","",IFERROR(AVERAGEIFS(Orders_Log!$H:$H,Orders_Log!$C:$C,$A645,Orders_Log!$H:$H,"&gt;0"),0))</f>
        <v/>
      </c>
      <c r="H645">
        <f>IF($A645="","",COUNTIFS(Orders_Log!$C:$C,$A645,Orders_Log!$P:$P,"Returned to Picker"))</f>
        <v/>
      </c>
    </row>
    <row r="646">
      <c r="B646">
        <f>IF($A646="","",COUNTIFS(Orders_Log!$C:$C,$A646,Orders_Log!$B:$B,"&lt;&gt;"))</f>
        <v/>
      </c>
      <c r="C646">
        <f>IF($A646="","",COUNTIFS(Orders_Log!$C:$C,$A646,Orders_Log!$M:$M,"Yes"))</f>
        <v/>
      </c>
      <c r="D646" s="5">
        <f>IF(B646=0,0,C646/B646)</f>
        <v/>
      </c>
      <c r="E646">
        <f>IF($A646="","",SUMIFS(Orders_Log!$I:$I,Orders_Log!$C:$C,$A646))</f>
        <v/>
      </c>
      <c r="F646">
        <f>IF(B646=0,0,E646/B646)</f>
        <v/>
      </c>
      <c r="G646">
        <f>IF($A646="","",IFERROR(AVERAGEIFS(Orders_Log!$H:$H,Orders_Log!$C:$C,$A646,Orders_Log!$H:$H,"&gt;0"),0))</f>
        <v/>
      </c>
      <c r="H646">
        <f>IF($A646="","",COUNTIFS(Orders_Log!$C:$C,$A646,Orders_Log!$P:$P,"Returned to Picker"))</f>
        <v/>
      </c>
    </row>
    <row r="647">
      <c r="B647">
        <f>IF($A647="","",COUNTIFS(Orders_Log!$C:$C,$A647,Orders_Log!$B:$B,"&lt;&gt;"))</f>
        <v/>
      </c>
      <c r="C647">
        <f>IF($A647="","",COUNTIFS(Orders_Log!$C:$C,$A647,Orders_Log!$M:$M,"Yes"))</f>
        <v/>
      </c>
      <c r="D647" s="5">
        <f>IF(B647=0,0,C647/B647)</f>
        <v/>
      </c>
      <c r="E647">
        <f>IF($A647="","",SUMIFS(Orders_Log!$I:$I,Orders_Log!$C:$C,$A647))</f>
        <v/>
      </c>
      <c r="F647">
        <f>IF(B647=0,0,E647/B647)</f>
        <v/>
      </c>
      <c r="G647">
        <f>IF($A647="","",IFERROR(AVERAGEIFS(Orders_Log!$H:$H,Orders_Log!$C:$C,$A647,Orders_Log!$H:$H,"&gt;0"),0))</f>
        <v/>
      </c>
      <c r="H647">
        <f>IF($A647="","",COUNTIFS(Orders_Log!$C:$C,$A647,Orders_Log!$P:$P,"Returned to Picker"))</f>
        <v/>
      </c>
    </row>
    <row r="648">
      <c r="B648">
        <f>IF($A648="","",COUNTIFS(Orders_Log!$C:$C,$A648,Orders_Log!$B:$B,"&lt;&gt;"))</f>
        <v/>
      </c>
      <c r="C648">
        <f>IF($A648="","",COUNTIFS(Orders_Log!$C:$C,$A648,Orders_Log!$M:$M,"Yes"))</f>
        <v/>
      </c>
      <c r="D648" s="5">
        <f>IF(B648=0,0,C648/B648)</f>
        <v/>
      </c>
      <c r="E648">
        <f>IF($A648="","",SUMIFS(Orders_Log!$I:$I,Orders_Log!$C:$C,$A648))</f>
        <v/>
      </c>
      <c r="F648">
        <f>IF(B648=0,0,E648/B648)</f>
        <v/>
      </c>
      <c r="G648">
        <f>IF($A648="","",IFERROR(AVERAGEIFS(Orders_Log!$H:$H,Orders_Log!$C:$C,$A648,Orders_Log!$H:$H,"&gt;0"),0))</f>
        <v/>
      </c>
      <c r="H648">
        <f>IF($A648="","",COUNTIFS(Orders_Log!$C:$C,$A648,Orders_Log!$P:$P,"Returned to Picker"))</f>
        <v/>
      </c>
    </row>
    <row r="649">
      <c r="B649">
        <f>IF($A649="","",COUNTIFS(Orders_Log!$C:$C,$A649,Orders_Log!$B:$B,"&lt;&gt;"))</f>
        <v/>
      </c>
      <c r="C649">
        <f>IF($A649="","",COUNTIFS(Orders_Log!$C:$C,$A649,Orders_Log!$M:$M,"Yes"))</f>
        <v/>
      </c>
      <c r="D649" s="5">
        <f>IF(B649=0,0,C649/B649)</f>
        <v/>
      </c>
      <c r="E649">
        <f>IF($A649="","",SUMIFS(Orders_Log!$I:$I,Orders_Log!$C:$C,$A649))</f>
        <v/>
      </c>
      <c r="F649">
        <f>IF(B649=0,0,E649/B649)</f>
        <v/>
      </c>
      <c r="G649">
        <f>IF($A649="","",IFERROR(AVERAGEIFS(Orders_Log!$H:$H,Orders_Log!$C:$C,$A649,Orders_Log!$H:$H,"&gt;0"),0))</f>
        <v/>
      </c>
      <c r="H649">
        <f>IF($A649="","",COUNTIFS(Orders_Log!$C:$C,$A649,Orders_Log!$P:$P,"Returned to Picker"))</f>
        <v/>
      </c>
    </row>
    <row r="650">
      <c r="B650">
        <f>IF($A650="","",COUNTIFS(Orders_Log!$C:$C,$A650,Orders_Log!$B:$B,"&lt;&gt;"))</f>
        <v/>
      </c>
      <c r="C650">
        <f>IF($A650="","",COUNTIFS(Orders_Log!$C:$C,$A650,Orders_Log!$M:$M,"Yes"))</f>
        <v/>
      </c>
      <c r="D650" s="5">
        <f>IF(B650=0,0,C650/B650)</f>
        <v/>
      </c>
      <c r="E650">
        <f>IF($A650="","",SUMIFS(Orders_Log!$I:$I,Orders_Log!$C:$C,$A650))</f>
        <v/>
      </c>
      <c r="F650">
        <f>IF(B650=0,0,E650/B650)</f>
        <v/>
      </c>
      <c r="G650">
        <f>IF($A650="","",IFERROR(AVERAGEIFS(Orders_Log!$H:$H,Orders_Log!$C:$C,$A650,Orders_Log!$H:$H,"&gt;0"),0))</f>
        <v/>
      </c>
      <c r="H650">
        <f>IF($A650="","",COUNTIFS(Orders_Log!$C:$C,$A650,Orders_Log!$P:$P,"Returned to Picker"))</f>
        <v/>
      </c>
    </row>
    <row r="651">
      <c r="B651">
        <f>IF($A651="","",COUNTIFS(Orders_Log!$C:$C,$A651,Orders_Log!$B:$B,"&lt;&gt;"))</f>
        <v/>
      </c>
      <c r="C651">
        <f>IF($A651="","",COUNTIFS(Orders_Log!$C:$C,$A651,Orders_Log!$M:$M,"Yes"))</f>
        <v/>
      </c>
      <c r="D651" s="5">
        <f>IF(B651=0,0,C651/B651)</f>
        <v/>
      </c>
      <c r="E651">
        <f>IF($A651="","",SUMIFS(Orders_Log!$I:$I,Orders_Log!$C:$C,$A651))</f>
        <v/>
      </c>
      <c r="F651">
        <f>IF(B651=0,0,E651/B651)</f>
        <v/>
      </c>
      <c r="G651">
        <f>IF($A651="","",IFERROR(AVERAGEIFS(Orders_Log!$H:$H,Orders_Log!$C:$C,$A651,Orders_Log!$H:$H,"&gt;0"),0))</f>
        <v/>
      </c>
      <c r="H651">
        <f>IF($A651="","",COUNTIFS(Orders_Log!$C:$C,$A651,Orders_Log!$P:$P,"Returned to Picker"))</f>
        <v/>
      </c>
    </row>
    <row r="652">
      <c r="B652">
        <f>IF($A652="","",COUNTIFS(Orders_Log!$C:$C,$A652,Orders_Log!$B:$B,"&lt;&gt;"))</f>
        <v/>
      </c>
      <c r="C652">
        <f>IF($A652="","",COUNTIFS(Orders_Log!$C:$C,$A652,Orders_Log!$M:$M,"Yes"))</f>
        <v/>
      </c>
      <c r="D652" s="5">
        <f>IF(B652=0,0,C652/B652)</f>
        <v/>
      </c>
      <c r="E652">
        <f>IF($A652="","",SUMIFS(Orders_Log!$I:$I,Orders_Log!$C:$C,$A652))</f>
        <v/>
      </c>
      <c r="F652">
        <f>IF(B652=0,0,E652/B652)</f>
        <v/>
      </c>
      <c r="G652">
        <f>IF($A652="","",IFERROR(AVERAGEIFS(Orders_Log!$H:$H,Orders_Log!$C:$C,$A652,Orders_Log!$H:$H,"&gt;0"),0))</f>
        <v/>
      </c>
      <c r="H652">
        <f>IF($A652="","",COUNTIFS(Orders_Log!$C:$C,$A652,Orders_Log!$P:$P,"Returned to Picker"))</f>
        <v/>
      </c>
    </row>
    <row r="653">
      <c r="B653">
        <f>IF($A653="","",COUNTIFS(Orders_Log!$C:$C,$A653,Orders_Log!$B:$B,"&lt;&gt;"))</f>
        <v/>
      </c>
      <c r="C653">
        <f>IF($A653="","",COUNTIFS(Orders_Log!$C:$C,$A653,Orders_Log!$M:$M,"Yes"))</f>
        <v/>
      </c>
      <c r="D653" s="5">
        <f>IF(B653=0,0,C653/B653)</f>
        <v/>
      </c>
      <c r="E653">
        <f>IF($A653="","",SUMIFS(Orders_Log!$I:$I,Orders_Log!$C:$C,$A653))</f>
        <v/>
      </c>
      <c r="F653">
        <f>IF(B653=0,0,E653/B653)</f>
        <v/>
      </c>
      <c r="G653">
        <f>IF($A653="","",IFERROR(AVERAGEIFS(Orders_Log!$H:$H,Orders_Log!$C:$C,$A653,Orders_Log!$H:$H,"&gt;0"),0))</f>
        <v/>
      </c>
      <c r="H653">
        <f>IF($A653="","",COUNTIFS(Orders_Log!$C:$C,$A653,Orders_Log!$P:$P,"Returned to Picker"))</f>
        <v/>
      </c>
    </row>
    <row r="654">
      <c r="B654">
        <f>IF($A654="","",COUNTIFS(Orders_Log!$C:$C,$A654,Orders_Log!$B:$B,"&lt;&gt;"))</f>
        <v/>
      </c>
      <c r="C654">
        <f>IF($A654="","",COUNTIFS(Orders_Log!$C:$C,$A654,Orders_Log!$M:$M,"Yes"))</f>
        <v/>
      </c>
      <c r="D654" s="5">
        <f>IF(B654=0,0,C654/B654)</f>
        <v/>
      </c>
      <c r="E654">
        <f>IF($A654="","",SUMIFS(Orders_Log!$I:$I,Orders_Log!$C:$C,$A654))</f>
        <v/>
      </c>
      <c r="F654">
        <f>IF(B654=0,0,E654/B654)</f>
        <v/>
      </c>
      <c r="G654">
        <f>IF($A654="","",IFERROR(AVERAGEIFS(Orders_Log!$H:$H,Orders_Log!$C:$C,$A654,Orders_Log!$H:$H,"&gt;0"),0))</f>
        <v/>
      </c>
      <c r="H654">
        <f>IF($A654="","",COUNTIFS(Orders_Log!$C:$C,$A654,Orders_Log!$P:$P,"Returned to Picker"))</f>
        <v/>
      </c>
    </row>
    <row r="655">
      <c r="B655">
        <f>IF($A655="","",COUNTIFS(Orders_Log!$C:$C,$A655,Orders_Log!$B:$B,"&lt;&gt;"))</f>
        <v/>
      </c>
      <c r="C655">
        <f>IF($A655="","",COUNTIFS(Orders_Log!$C:$C,$A655,Orders_Log!$M:$M,"Yes"))</f>
        <v/>
      </c>
      <c r="D655" s="5">
        <f>IF(B655=0,0,C655/B655)</f>
        <v/>
      </c>
      <c r="E655">
        <f>IF($A655="","",SUMIFS(Orders_Log!$I:$I,Orders_Log!$C:$C,$A655))</f>
        <v/>
      </c>
      <c r="F655">
        <f>IF(B655=0,0,E655/B655)</f>
        <v/>
      </c>
      <c r="G655">
        <f>IF($A655="","",IFERROR(AVERAGEIFS(Orders_Log!$H:$H,Orders_Log!$C:$C,$A655,Orders_Log!$H:$H,"&gt;0"),0))</f>
        <v/>
      </c>
      <c r="H655">
        <f>IF($A655="","",COUNTIFS(Orders_Log!$C:$C,$A655,Orders_Log!$P:$P,"Returned to Picker"))</f>
        <v/>
      </c>
    </row>
    <row r="656">
      <c r="B656">
        <f>IF($A656="","",COUNTIFS(Orders_Log!$C:$C,$A656,Orders_Log!$B:$B,"&lt;&gt;"))</f>
        <v/>
      </c>
      <c r="C656">
        <f>IF($A656="","",COUNTIFS(Orders_Log!$C:$C,$A656,Orders_Log!$M:$M,"Yes"))</f>
        <v/>
      </c>
      <c r="D656" s="5">
        <f>IF(B656=0,0,C656/B656)</f>
        <v/>
      </c>
      <c r="E656">
        <f>IF($A656="","",SUMIFS(Orders_Log!$I:$I,Orders_Log!$C:$C,$A656))</f>
        <v/>
      </c>
      <c r="F656">
        <f>IF(B656=0,0,E656/B656)</f>
        <v/>
      </c>
      <c r="G656">
        <f>IF($A656="","",IFERROR(AVERAGEIFS(Orders_Log!$H:$H,Orders_Log!$C:$C,$A656,Orders_Log!$H:$H,"&gt;0"),0))</f>
        <v/>
      </c>
      <c r="H656">
        <f>IF($A656="","",COUNTIFS(Orders_Log!$C:$C,$A656,Orders_Log!$P:$P,"Returned to Picker"))</f>
        <v/>
      </c>
    </row>
    <row r="657">
      <c r="B657">
        <f>IF($A657="","",COUNTIFS(Orders_Log!$C:$C,$A657,Orders_Log!$B:$B,"&lt;&gt;"))</f>
        <v/>
      </c>
      <c r="C657">
        <f>IF($A657="","",COUNTIFS(Orders_Log!$C:$C,$A657,Orders_Log!$M:$M,"Yes"))</f>
        <v/>
      </c>
      <c r="D657" s="5">
        <f>IF(B657=0,0,C657/B657)</f>
        <v/>
      </c>
      <c r="E657">
        <f>IF($A657="","",SUMIFS(Orders_Log!$I:$I,Orders_Log!$C:$C,$A657))</f>
        <v/>
      </c>
      <c r="F657">
        <f>IF(B657=0,0,E657/B657)</f>
        <v/>
      </c>
      <c r="G657">
        <f>IF($A657="","",IFERROR(AVERAGEIFS(Orders_Log!$H:$H,Orders_Log!$C:$C,$A657,Orders_Log!$H:$H,"&gt;0"),0))</f>
        <v/>
      </c>
      <c r="H657">
        <f>IF($A657="","",COUNTIFS(Orders_Log!$C:$C,$A657,Orders_Log!$P:$P,"Returned to Picker"))</f>
        <v/>
      </c>
    </row>
    <row r="658">
      <c r="B658">
        <f>IF($A658="","",COUNTIFS(Orders_Log!$C:$C,$A658,Orders_Log!$B:$B,"&lt;&gt;"))</f>
        <v/>
      </c>
      <c r="C658">
        <f>IF($A658="","",COUNTIFS(Orders_Log!$C:$C,$A658,Orders_Log!$M:$M,"Yes"))</f>
        <v/>
      </c>
      <c r="D658" s="5">
        <f>IF(B658=0,0,C658/B658)</f>
        <v/>
      </c>
      <c r="E658">
        <f>IF($A658="","",SUMIFS(Orders_Log!$I:$I,Orders_Log!$C:$C,$A658))</f>
        <v/>
      </c>
      <c r="F658">
        <f>IF(B658=0,0,E658/B658)</f>
        <v/>
      </c>
      <c r="G658">
        <f>IF($A658="","",IFERROR(AVERAGEIFS(Orders_Log!$H:$H,Orders_Log!$C:$C,$A658,Orders_Log!$H:$H,"&gt;0"),0))</f>
        <v/>
      </c>
      <c r="H658">
        <f>IF($A658="","",COUNTIFS(Orders_Log!$C:$C,$A658,Orders_Log!$P:$P,"Returned to Picker"))</f>
        <v/>
      </c>
    </row>
    <row r="659">
      <c r="B659">
        <f>IF($A659="","",COUNTIFS(Orders_Log!$C:$C,$A659,Orders_Log!$B:$B,"&lt;&gt;"))</f>
        <v/>
      </c>
      <c r="C659">
        <f>IF($A659="","",COUNTIFS(Orders_Log!$C:$C,$A659,Orders_Log!$M:$M,"Yes"))</f>
        <v/>
      </c>
      <c r="D659" s="5">
        <f>IF(B659=0,0,C659/B659)</f>
        <v/>
      </c>
      <c r="E659">
        <f>IF($A659="","",SUMIFS(Orders_Log!$I:$I,Orders_Log!$C:$C,$A659))</f>
        <v/>
      </c>
      <c r="F659">
        <f>IF(B659=0,0,E659/B659)</f>
        <v/>
      </c>
      <c r="G659">
        <f>IF($A659="","",IFERROR(AVERAGEIFS(Orders_Log!$H:$H,Orders_Log!$C:$C,$A659,Orders_Log!$H:$H,"&gt;0"),0))</f>
        <v/>
      </c>
      <c r="H659">
        <f>IF($A659="","",COUNTIFS(Orders_Log!$C:$C,$A659,Orders_Log!$P:$P,"Returned to Picker"))</f>
        <v/>
      </c>
    </row>
    <row r="660">
      <c r="B660">
        <f>IF($A660="","",COUNTIFS(Orders_Log!$C:$C,$A660,Orders_Log!$B:$B,"&lt;&gt;"))</f>
        <v/>
      </c>
      <c r="C660">
        <f>IF($A660="","",COUNTIFS(Orders_Log!$C:$C,$A660,Orders_Log!$M:$M,"Yes"))</f>
        <v/>
      </c>
      <c r="D660" s="5">
        <f>IF(B660=0,0,C660/B660)</f>
        <v/>
      </c>
      <c r="E660">
        <f>IF($A660="","",SUMIFS(Orders_Log!$I:$I,Orders_Log!$C:$C,$A660))</f>
        <v/>
      </c>
      <c r="F660">
        <f>IF(B660=0,0,E660/B660)</f>
        <v/>
      </c>
      <c r="G660">
        <f>IF($A660="","",IFERROR(AVERAGEIFS(Orders_Log!$H:$H,Orders_Log!$C:$C,$A660,Orders_Log!$H:$H,"&gt;0"),0))</f>
        <v/>
      </c>
      <c r="H660">
        <f>IF($A660="","",COUNTIFS(Orders_Log!$C:$C,$A660,Orders_Log!$P:$P,"Returned to Picker"))</f>
        <v/>
      </c>
    </row>
    <row r="661">
      <c r="B661">
        <f>IF($A661="","",COUNTIFS(Orders_Log!$C:$C,$A661,Orders_Log!$B:$B,"&lt;&gt;"))</f>
        <v/>
      </c>
      <c r="C661">
        <f>IF($A661="","",COUNTIFS(Orders_Log!$C:$C,$A661,Orders_Log!$M:$M,"Yes"))</f>
        <v/>
      </c>
      <c r="D661" s="5">
        <f>IF(B661=0,0,C661/B661)</f>
        <v/>
      </c>
      <c r="E661">
        <f>IF($A661="","",SUMIFS(Orders_Log!$I:$I,Orders_Log!$C:$C,$A661))</f>
        <v/>
      </c>
      <c r="F661">
        <f>IF(B661=0,0,E661/B661)</f>
        <v/>
      </c>
      <c r="G661">
        <f>IF($A661="","",IFERROR(AVERAGEIFS(Orders_Log!$H:$H,Orders_Log!$C:$C,$A661,Orders_Log!$H:$H,"&gt;0"),0))</f>
        <v/>
      </c>
      <c r="H661">
        <f>IF($A661="","",COUNTIFS(Orders_Log!$C:$C,$A661,Orders_Log!$P:$P,"Returned to Picker"))</f>
        <v/>
      </c>
    </row>
    <row r="662">
      <c r="B662">
        <f>IF($A662="","",COUNTIFS(Orders_Log!$C:$C,$A662,Orders_Log!$B:$B,"&lt;&gt;"))</f>
        <v/>
      </c>
      <c r="C662">
        <f>IF($A662="","",COUNTIFS(Orders_Log!$C:$C,$A662,Orders_Log!$M:$M,"Yes"))</f>
        <v/>
      </c>
      <c r="D662" s="5">
        <f>IF(B662=0,0,C662/B662)</f>
        <v/>
      </c>
      <c r="E662">
        <f>IF($A662="","",SUMIFS(Orders_Log!$I:$I,Orders_Log!$C:$C,$A662))</f>
        <v/>
      </c>
      <c r="F662">
        <f>IF(B662=0,0,E662/B662)</f>
        <v/>
      </c>
      <c r="G662">
        <f>IF($A662="","",IFERROR(AVERAGEIFS(Orders_Log!$H:$H,Orders_Log!$C:$C,$A662,Orders_Log!$H:$H,"&gt;0"),0))</f>
        <v/>
      </c>
      <c r="H662">
        <f>IF($A662="","",COUNTIFS(Orders_Log!$C:$C,$A662,Orders_Log!$P:$P,"Returned to Picker"))</f>
        <v/>
      </c>
    </row>
    <row r="663">
      <c r="B663">
        <f>IF($A663="","",COUNTIFS(Orders_Log!$C:$C,$A663,Orders_Log!$B:$B,"&lt;&gt;"))</f>
        <v/>
      </c>
      <c r="C663">
        <f>IF($A663="","",COUNTIFS(Orders_Log!$C:$C,$A663,Orders_Log!$M:$M,"Yes"))</f>
        <v/>
      </c>
      <c r="D663" s="5">
        <f>IF(B663=0,0,C663/B663)</f>
        <v/>
      </c>
      <c r="E663">
        <f>IF($A663="","",SUMIFS(Orders_Log!$I:$I,Orders_Log!$C:$C,$A663))</f>
        <v/>
      </c>
      <c r="F663">
        <f>IF(B663=0,0,E663/B663)</f>
        <v/>
      </c>
      <c r="G663">
        <f>IF($A663="","",IFERROR(AVERAGEIFS(Orders_Log!$H:$H,Orders_Log!$C:$C,$A663,Orders_Log!$H:$H,"&gt;0"),0))</f>
        <v/>
      </c>
      <c r="H663">
        <f>IF($A663="","",COUNTIFS(Orders_Log!$C:$C,$A663,Orders_Log!$P:$P,"Returned to Picker"))</f>
        <v/>
      </c>
    </row>
    <row r="664">
      <c r="B664">
        <f>IF($A664="","",COUNTIFS(Orders_Log!$C:$C,$A664,Orders_Log!$B:$B,"&lt;&gt;"))</f>
        <v/>
      </c>
      <c r="C664">
        <f>IF($A664="","",COUNTIFS(Orders_Log!$C:$C,$A664,Orders_Log!$M:$M,"Yes"))</f>
        <v/>
      </c>
      <c r="D664" s="5">
        <f>IF(B664=0,0,C664/B664)</f>
        <v/>
      </c>
      <c r="E664">
        <f>IF($A664="","",SUMIFS(Orders_Log!$I:$I,Orders_Log!$C:$C,$A664))</f>
        <v/>
      </c>
      <c r="F664">
        <f>IF(B664=0,0,E664/B664)</f>
        <v/>
      </c>
      <c r="G664">
        <f>IF($A664="","",IFERROR(AVERAGEIFS(Orders_Log!$H:$H,Orders_Log!$C:$C,$A664,Orders_Log!$H:$H,"&gt;0"),0))</f>
        <v/>
      </c>
      <c r="H664">
        <f>IF($A664="","",COUNTIFS(Orders_Log!$C:$C,$A664,Orders_Log!$P:$P,"Returned to Picker"))</f>
        <v/>
      </c>
    </row>
    <row r="665">
      <c r="B665">
        <f>IF($A665="","",COUNTIFS(Orders_Log!$C:$C,$A665,Orders_Log!$B:$B,"&lt;&gt;"))</f>
        <v/>
      </c>
      <c r="C665">
        <f>IF($A665="","",COUNTIFS(Orders_Log!$C:$C,$A665,Orders_Log!$M:$M,"Yes"))</f>
        <v/>
      </c>
      <c r="D665" s="5">
        <f>IF(B665=0,0,C665/B665)</f>
        <v/>
      </c>
      <c r="E665">
        <f>IF($A665="","",SUMIFS(Orders_Log!$I:$I,Orders_Log!$C:$C,$A665))</f>
        <v/>
      </c>
      <c r="F665">
        <f>IF(B665=0,0,E665/B665)</f>
        <v/>
      </c>
      <c r="G665">
        <f>IF($A665="","",IFERROR(AVERAGEIFS(Orders_Log!$H:$H,Orders_Log!$C:$C,$A665,Orders_Log!$H:$H,"&gt;0"),0))</f>
        <v/>
      </c>
      <c r="H665">
        <f>IF($A665="","",COUNTIFS(Orders_Log!$C:$C,$A665,Orders_Log!$P:$P,"Returned to Picker"))</f>
        <v/>
      </c>
    </row>
    <row r="666">
      <c r="B666">
        <f>IF($A666="","",COUNTIFS(Orders_Log!$C:$C,$A666,Orders_Log!$B:$B,"&lt;&gt;"))</f>
        <v/>
      </c>
      <c r="C666">
        <f>IF($A666="","",COUNTIFS(Orders_Log!$C:$C,$A666,Orders_Log!$M:$M,"Yes"))</f>
        <v/>
      </c>
      <c r="D666" s="5">
        <f>IF(B666=0,0,C666/B666)</f>
        <v/>
      </c>
      <c r="E666">
        <f>IF($A666="","",SUMIFS(Orders_Log!$I:$I,Orders_Log!$C:$C,$A666))</f>
        <v/>
      </c>
      <c r="F666">
        <f>IF(B666=0,0,E666/B666)</f>
        <v/>
      </c>
      <c r="G666">
        <f>IF($A666="","",IFERROR(AVERAGEIFS(Orders_Log!$H:$H,Orders_Log!$C:$C,$A666,Orders_Log!$H:$H,"&gt;0"),0))</f>
        <v/>
      </c>
      <c r="H666">
        <f>IF($A666="","",COUNTIFS(Orders_Log!$C:$C,$A666,Orders_Log!$P:$P,"Returned to Picker"))</f>
        <v/>
      </c>
    </row>
    <row r="667">
      <c r="B667">
        <f>IF($A667="","",COUNTIFS(Orders_Log!$C:$C,$A667,Orders_Log!$B:$B,"&lt;&gt;"))</f>
        <v/>
      </c>
      <c r="C667">
        <f>IF($A667="","",COUNTIFS(Orders_Log!$C:$C,$A667,Orders_Log!$M:$M,"Yes"))</f>
        <v/>
      </c>
      <c r="D667" s="5">
        <f>IF(B667=0,0,C667/B667)</f>
        <v/>
      </c>
      <c r="E667">
        <f>IF($A667="","",SUMIFS(Orders_Log!$I:$I,Orders_Log!$C:$C,$A667))</f>
        <v/>
      </c>
      <c r="F667">
        <f>IF(B667=0,0,E667/B667)</f>
        <v/>
      </c>
      <c r="G667">
        <f>IF($A667="","",IFERROR(AVERAGEIFS(Orders_Log!$H:$H,Orders_Log!$C:$C,$A667,Orders_Log!$H:$H,"&gt;0"),0))</f>
        <v/>
      </c>
      <c r="H667">
        <f>IF($A667="","",COUNTIFS(Orders_Log!$C:$C,$A667,Orders_Log!$P:$P,"Returned to Picker"))</f>
        <v/>
      </c>
    </row>
    <row r="668">
      <c r="B668">
        <f>IF($A668="","",COUNTIFS(Orders_Log!$C:$C,$A668,Orders_Log!$B:$B,"&lt;&gt;"))</f>
        <v/>
      </c>
      <c r="C668">
        <f>IF($A668="","",COUNTIFS(Orders_Log!$C:$C,$A668,Orders_Log!$M:$M,"Yes"))</f>
        <v/>
      </c>
      <c r="D668" s="5">
        <f>IF(B668=0,0,C668/B668)</f>
        <v/>
      </c>
      <c r="E668">
        <f>IF($A668="","",SUMIFS(Orders_Log!$I:$I,Orders_Log!$C:$C,$A668))</f>
        <v/>
      </c>
      <c r="F668">
        <f>IF(B668=0,0,E668/B668)</f>
        <v/>
      </c>
      <c r="G668">
        <f>IF($A668="","",IFERROR(AVERAGEIFS(Orders_Log!$H:$H,Orders_Log!$C:$C,$A668,Orders_Log!$H:$H,"&gt;0"),0))</f>
        <v/>
      </c>
      <c r="H668">
        <f>IF($A668="","",COUNTIFS(Orders_Log!$C:$C,$A668,Orders_Log!$P:$P,"Returned to Picker"))</f>
        <v/>
      </c>
    </row>
    <row r="669">
      <c r="B669">
        <f>IF($A669="","",COUNTIFS(Orders_Log!$C:$C,$A669,Orders_Log!$B:$B,"&lt;&gt;"))</f>
        <v/>
      </c>
      <c r="C669">
        <f>IF($A669="","",COUNTIFS(Orders_Log!$C:$C,$A669,Orders_Log!$M:$M,"Yes"))</f>
        <v/>
      </c>
      <c r="D669" s="5">
        <f>IF(B669=0,0,C669/B669)</f>
        <v/>
      </c>
      <c r="E669">
        <f>IF($A669="","",SUMIFS(Orders_Log!$I:$I,Orders_Log!$C:$C,$A669))</f>
        <v/>
      </c>
      <c r="F669">
        <f>IF(B669=0,0,E669/B669)</f>
        <v/>
      </c>
      <c r="G669">
        <f>IF($A669="","",IFERROR(AVERAGEIFS(Orders_Log!$H:$H,Orders_Log!$C:$C,$A669,Orders_Log!$H:$H,"&gt;0"),0))</f>
        <v/>
      </c>
      <c r="H669">
        <f>IF($A669="","",COUNTIFS(Orders_Log!$C:$C,$A669,Orders_Log!$P:$P,"Returned to Picker"))</f>
        <v/>
      </c>
    </row>
    <row r="670">
      <c r="B670">
        <f>IF($A670="","",COUNTIFS(Orders_Log!$C:$C,$A670,Orders_Log!$B:$B,"&lt;&gt;"))</f>
        <v/>
      </c>
      <c r="C670">
        <f>IF($A670="","",COUNTIFS(Orders_Log!$C:$C,$A670,Orders_Log!$M:$M,"Yes"))</f>
        <v/>
      </c>
      <c r="D670" s="5">
        <f>IF(B670=0,0,C670/B670)</f>
        <v/>
      </c>
      <c r="E670">
        <f>IF($A670="","",SUMIFS(Orders_Log!$I:$I,Orders_Log!$C:$C,$A670))</f>
        <v/>
      </c>
      <c r="F670">
        <f>IF(B670=0,0,E670/B670)</f>
        <v/>
      </c>
      <c r="G670">
        <f>IF($A670="","",IFERROR(AVERAGEIFS(Orders_Log!$H:$H,Orders_Log!$C:$C,$A670,Orders_Log!$H:$H,"&gt;0"),0))</f>
        <v/>
      </c>
      <c r="H670">
        <f>IF($A670="","",COUNTIFS(Orders_Log!$C:$C,$A670,Orders_Log!$P:$P,"Returned to Picker"))</f>
        <v/>
      </c>
    </row>
    <row r="671">
      <c r="B671">
        <f>IF($A671="","",COUNTIFS(Orders_Log!$C:$C,$A671,Orders_Log!$B:$B,"&lt;&gt;"))</f>
        <v/>
      </c>
      <c r="C671">
        <f>IF($A671="","",COUNTIFS(Orders_Log!$C:$C,$A671,Orders_Log!$M:$M,"Yes"))</f>
        <v/>
      </c>
      <c r="D671" s="5">
        <f>IF(B671=0,0,C671/B671)</f>
        <v/>
      </c>
      <c r="E671">
        <f>IF($A671="","",SUMIFS(Orders_Log!$I:$I,Orders_Log!$C:$C,$A671))</f>
        <v/>
      </c>
      <c r="F671">
        <f>IF(B671=0,0,E671/B671)</f>
        <v/>
      </c>
      <c r="G671">
        <f>IF($A671="","",IFERROR(AVERAGEIFS(Orders_Log!$H:$H,Orders_Log!$C:$C,$A671,Orders_Log!$H:$H,"&gt;0"),0))</f>
        <v/>
      </c>
      <c r="H671">
        <f>IF($A671="","",COUNTIFS(Orders_Log!$C:$C,$A671,Orders_Log!$P:$P,"Returned to Picker"))</f>
        <v/>
      </c>
    </row>
    <row r="672">
      <c r="B672">
        <f>IF($A672="","",COUNTIFS(Orders_Log!$C:$C,$A672,Orders_Log!$B:$B,"&lt;&gt;"))</f>
        <v/>
      </c>
      <c r="C672">
        <f>IF($A672="","",COUNTIFS(Orders_Log!$C:$C,$A672,Orders_Log!$M:$M,"Yes"))</f>
        <v/>
      </c>
      <c r="D672" s="5">
        <f>IF(B672=0,0,C672/B672)</f>
        <v/>
      </c>
      <c r="E672">
        <f>IF($A672="","",SUMIFS(Orders_Log!$I:$I,Orders_Log!$C:$C,$A672))</f>
        <v/>
      </c>
      <c r="F672">
        <f>IF(B672=0,0,E672/B672)</f>
        <v/>
      </c>
      <c r="G672">
        <f>IF($A672="","",IFERROR(AVERAGEIFS(Orders_Log!$H:$H,Orders_Log!$C:$C,$A672,Orders_Log!$H:$H,"&gt;0"),0))</f>
        <v/>
      </c>
      <c r="H672">
        <f>IF($A672="","",COUNTIFS(Orders_Log!$C:$C,$A672,Orders_Log!$P:$P,"Returned to Picker"))</f>
        <v/>
      </c>
    </row>
    <row r="673">
      <c r="B673">
        <f>IF($A673="","",COUNTIFS(Orders_Log!$C:$C,$A673,Orders_Log!$B:$B,"&lt;&gt;"))</f>
        <v/>
      </c>
      <c r="C673">
        <f>IF($A673="","",COUNTIFS(Orders_Log!$C:$C,$A673,Orders_Log!$M:$M,"Yes"))</f>
        <v/>
      </c>
      <c r="D673" s="5">
        <f>IF(B673=0,0,C673/B673)</f>
        <v/>
      </c>
      <c r="E673">
        <f>IF($A673="","",SUMIFS(Orders_Log!$I:$I,Orders_Log!$C:$C,$A673))</f>
        <v/>
      </c>
      <c r="F673">
        <f>IF(B673=0,0,E673/B673)</f>
        <v/>
      </c>
      <c r="G673">
        <f>IF($A673="","",IFERROR(AVERAGEIFS(Orders_Log!$H:$H,Orders_Log!$C:$C,$A673,Orders_Log!$H:$H,"&gt;0"),0))</f>
        <v/>
      </c>
      <c r="H673">
        <f>IF($A673="","",COUNTIFS(Orders_Log!$C:$C,$A673,Orders_Log!$P:$P,"Returned to Picker"))</f>
        <v/>
      </c>
    </row>
    <row r="674">
      <c r="B674">
        <f>IF($A674="","",COUNTIFS(Orders_Log!$C:$C,$A674,Orders_Log!$B:$B,"&lt;&gt;"))</f>
        <v/>
      </c>
      <c r="C674">
        <f>IF($A674="","",COUNTIFS(Orders_Log!$C:$C,$A674,Orders_Log!$M:$M,"Yes"))</f>
        <v/>
      </c>
      <c r="D674" s="5">
        <f>IF(B674=0,0,C674/B674)</f>
        <v/>
      </c>
      <c r="E674">
        <f>IF($A674="","",SUMIFS(Orders_Log!$I:$I,Orders_Log!$C:$C,$A674))</f>
        <v/>
      </c>
      <c r="F674">
        <f>IF(B674=0,0,E674/B674)</f>
        <v/>
      </c>
      <c r="G674">
        <f>IF($A674="","",IFERROR(AVERAGEIFS(Orders_Log!$H:$H,Orders_Log!$C:$C,$A674,Orders_Log!$H:$H,"&gt;0"),0))</f>
        <v/>
      </c>
      <c r="H674">
        <f>IF($A674="","",COUNTIFS(Orders_Log!$C:$C,$A674,Orders_Log!$P:$P,"Returned to Picker"))</f>
        <v/>
      </c>
    </row>
    <row r="675">
      <c r="B675">
        <f>IF($A675="","",COUNTIFS(Orders_Log!$C:$C,$A675,Orders_Log!$B:$B,"&lt;&gt;"))</f>
        <v/>
      </c>
      <c r="C675">
        <f>IF($A675="","",COUNTIFS(Orders_Log!$C:$C,$A675,Orders_Log!$M:$M,"Yes"))</f>
        <v/>
      </c>
      <c r="D675" s="5">
        <f>IF(B675=0,0,C675/B675)</f>
        <v/>
      </c>
      <c r="E675">
        <f>IF($A675="","",SUMIFS(Orders_Log!$I:$I,Orders_Log!$C:$C,$A675))</f>
        <v/>
      </c>
      <c r="F675">
        <f>IF(B675=0,0,E675/B675)</f>
        <v/>
      </c>
      <c r="G675">
        <f>IF($A675="","",IFERROR(AVERAGEIFS(Orders_Log!$H:$H,Orders_Log!$C:$C,$A675,Orders_Log!$H:$H,"&gt;0"),0))</f>
        <v/>
      </c>
      <c r="H675">
        <f>IF($A675="","",COUNTIFS(Orders_Log!$C:$C,$A675,Orders_Log!$P:$P,"Returned to Picker"))</f>
        <v/>
      </c>
    </row>
    <row r="676">
      <c r="B676">
        <f>IF($A676="","",COUNTIFS(Orders_Log!$C:$C,$A676,Orders_Log!$B:$B,"&lt;&gt;"))</f>
        <v/>
      </c>
      <c r="C676">
        <f>IF($A676="","",COUNTIFS(Orders_Log!$C:$C,$A676,Orders_Log!$M:$M,"Yes"))</f>
        <v/>
      </c>
      <c r="D676" s="5">
        <f>IF(B676=0,0,C676/B676)</f>
        <v/>
      </c>
      <c r="E676">
        <f>IF($A676="","",SUMIFS(Orders_Log!$I:$I,Orders_Log!$C:$C,$A676))</f>
        <v/>
      </c>
      <c r="F676">
        <f>IF(B676=0,0,E676/B676)</f>
        <v/>
      </c>
      <c r="G676">
        <f>IF($A676="","",IFERROR(AVERAGEIFS(Orders_Log!$H:$H,Orders_Log!$C:$C,$A676,Orders_Log!$H:$H,"&gt;0"),0))</f>
        <v/>
      </c>
      <c r="H676">
        <f>IF($A676="","",COUNTIFS(Orders_Log!$C:$C,$A676,Orders_Log!$P:$P,"Returned to Picker"))</f>
        <v/>
      </c>
    </row>
    <row r="677">
      <c r="B677">
        <f>IF($A677="","",COUNTIFS(Orders_Log!$C:$C,$A677,Orders_Log!$B:$B,"&lt;&gt;"))</f>
        <v/>
      </c>
      <c r="C677">
        <f>IF($A677="","",COUNTIFS(Orders_Log!$C:$C,$A677,Orders_Log!$M:$M,"Yes"))</f>
        <v/>
      </c>
      <c r="D677" s="5">
        <f>IF(B677=0,0,C677/B677)</f>
        <v/>
      </c>
      <c r="E677">
        <f>IF($A677="","",SUMIFS(Orders_Log!$I:$I,Orders_Log!$C:$C,$A677))</f>
        <v/>
      </c>
      <c r="F677">
        <f>IF(B677=0,0,E677/B677)</f>
        <v/>
      </c>
      <c r="G677">
        <f>IF($A677="","",IFERROR(AVERAGEIFS(Orders_Log!$H:$H,Orders_Log!$C:$C,$A677,Orders_Log!$H:$H,"&gt;0"),0))</f>
        <v/>
      </c>
      <c r="H677">
        <f>IF($A677="","",COUNTIFS(Orders_Log!$C:$C,$A677,Orders_Log!$P:$P,"Returned to Picker"))</f>
        <v/>
      </c>
    </row>
    <row r="678">
      <c r="B678">
        <f>IF($A678="","",COUNTIFS(Orders_Log!$C:$C,$A678,Orders_Log!$B:$B,"&lt;&gt;"))</f>
        <v/>
      </c>
      <c r="C678">
        <f>IF($A678="","",COUNTIFS(Orders_Log!$C:$C,$A678,Orders_Log!$M:$M,"Yes"))</f>
        <v/>
      </c>
      <c r="D678" s="5">
        <f>IF(B678=0,0,C678/B678)</f>
        <v/>
      </c>
      <c r="E678">
        <f>IF($A678="","",SUMIFS(Orders_Log!$I:$I,Orders_Log!$C:$C,$A678))</f>
        <v/>
      </c>
      <c r="F678">
        <f>IF(B678=0,0,E678/B678)</f>
        <v/>
      </c>
      <c r="G678">
        <f>IF($A678="","",IFERROR(AVERAGEIFS(Orders_Log!$H:$H,Orders_Log!$C:$C,$A678,Orders_Log!$H:$H,"&gt;0"),0))</f>
        <v/>
      </c>
      <c r="H678">
        <f>IF($A678="","",COUNTIFS(Orders_Log!$C:$C,$A678,Orders_Log!$P:$P,"Returned to Picker"))</f>
        <v/>
      </c>
    </row>
    <row r="679">
      <c r="B679">
        <f>IF($A679="","",COUNTIFS(Orders_Log!$C:$C,$A679,Orders_Log!$B:$B,"&lt;&gt;"))</f>
        <v/>
      </c>
      <c r="C679">
        <f>IF($A679="","",COUNTIFS(Orders_Log!$C:$C,$A679,Orders_Log!$M:$M,"Yes"))</f>
        <v/>
      </c>
      <c r="D679" s="5">
        <f>IF(B679=0,0,C679/B679)</f>
        <v/>
      </c>
      <c r="E679">
        <f>IF($A679="","",SUMIFS(Orders_Log!$I:$I,Orders_Log!$C:$C,$A679))</f>
        <v/>
      </c>
      <c r="F679">
        <f>IF(B679=0,0,E679/B679)</f>
        <v/>
      </c>
      <c r="G679">
        <f>IF($A679="","",IFERROR(AVERAGEIFS(Orders_Log!$H:$H,Orders_Log!$C:$C,$A679,Orders_Log!$H:$H,"&gt;0"),0))</f>
        <v/>
      </c>
      <c r="H679">
        <f>IF($A679="","",COUNTIFS(Orders_Log!$C:$C,$A679,Orders_Log!$P:$P,"Returned to Picker"))</f>
        <v/>
      </c>
    </row>
    <row r="680">
      <c r="B680">
        <f>IF($A680="","",COUNTIFS(Orders_Log!$C:$C,$A680,Orders_Log!$B:$B,"&lt;&gt;"))</f>
        <v/>
      </c>
      <c r="C680">
        <f>IF($A680="","",COUNTIFS(Orders_Log!$C:$C,$A680,Orders_Log!$M:$M,"Yes"))</f>
        <v/>
      </c>
      <c r="D680" s="5">
        <f>IF(B680=0,0,C680/B680)</f>
        <v/>
      </c>
      <c r="E680">
        <f>IF($A680="","",SUMIFS(Orders_Log!$I:$I,Orders_Log!$C:$C,$A680))</f>
        <v/>
      </c>
      <c r="F680">
        <f>IF(B680=0,0,E680/B680)</f>
        <v/>
      </c>
      <c r="G680">
        <f>IF($A680="","",IFERROR(AVERAGEIFS(Orders_Log!$H:$H,Orders_Log!$C:$C,$A680,Orders_Log!$H:$H,"&gt;0"),0))</f>
        <v/>
      </c>
      <c r="H680">
        <f>IF($A680="","",COUNTIFS(Orders_Log!$C:$C,$A680,Orders_Log!$P:$P,"Returned to Picker"))</f>
        <v/>
      </c>
    </row>
    <row r="681">
      <c r="B681">
        <f>IF($A681="","",COUNTIFS(Orders_Log!$C:$C,$A681,Orders_Log!$B:$B,"&lt;&gt;"))</f>
        <v/>
      </c>
      <c r="C681">
        <f>IF($A681="","",COUNTIFS(Orders_Log!$C:$C,$A681,Orders_Log!$M:$M,"Yes"))</f>
        <v/>
      </c>
      <c r="D681" s="5">
        <f>IF(B681=0,0,C681/B681)</f>
        <v/>
      </c>
      <c r="E681">
        <f>IF($A681="","",SUMIFS(Orders_Log!$I:$I,Orders_Log!$C:$C,$A681))</f>
        <v/>
      </c>
      <c r="F681">
        <f>IF(B681=0,0,E681/B681)</f>
        <v/>
      </c>
      <c r="G681">
        <f>IF($A681="","",IFERROR(AVERAGEIFS(Orders_Log!$H:$H,Orders_Log!$C:$C,$A681,Orders_Log!$H:$H,"&gt;0"),0))</f>
        <v/>
      </c>
      <c r="H681">
        <f>IF($A681="","",COUNTIFS(Orders_Log!$C:$C,$A681,Orders_Log!$P:$P,"Returned to Picker"))</f>
        <v/>
      </c>
    </row>
    <row r="682">
      <c r="B682">
        <f>IF($A682="","",COUNTIFS(Orders_Log!$C:$C,$A682,Orders_Log!$B:$B,"&lt;&gt;"))</f>
        <v/>
      </c>
      <c r="C682">
        <f>IF($A682="","",COUNTIFS(Orders_Log!$C:$C,$A682,Orders_Log!$M:$M,"Yes"))</f>
        <v/>
      </c>
      <c r="D682" s="5">
        <f>IF(B682=0,0,C682/B682)</f>
        <v/>
      </c>
      <c r="E682">
        <f>IF($A682="","",SUMIFS(Orders_Log!$I:$I,Orders_Log!$C:$C,$A682))</f>
        <v/>
      </c>
      <c r="F682">
        <f>IF(B682=0,0,E682/B682)</f>
        <v/>
      </c>
      <c r="G682">
        <f>IF($A682="","",IFERROR(AVERAGEIFS(Orders_Log!$H:$H,Orders_Log!$C:$C,$A682,Orders_Log!$H:$H,"&gt;0"),0))</f>
        <v/>
      </c>
      <c r="H682">
        <f>IF($A682="","",COUNTIFS(Orders_Log!$C:$C,$A682,Orders_Log!$P:$P,"Returned to Picker"))</f>
        <v/>
      </c>
    </row>
    <row r="683">
      <c r="B683">
        <f>IF($A683="","",COUNTIFS(Orders_Log!$C:$C,$A683,Orders_Log!$B:$B,"&lt;&gt;"))</f>
        <v/>
      </c>
      <c r="C683">
        <f>IF($A683="","",COUNTIFS(Orders_Log!$C:$C,$A683,Orders_Log!$M:$M,"Yes"))</f>
        <v/>
      </c>
      <c r="D683" s="5">
        <f>IF(B683=0,0,C683/B683)</f>
        <v/>
      </c>
      <c r="E683">
        <f>IF($A683="","",SUMIFS(Orders_Log!$I:$I,Orders_Log!$C:$C,$A683))</f>
        <v/>
      </c>
      <c r="F683">
        <f>IF(B683=0,0,E683/B683)</f>
        <v/>
      </c>
      <c r="G683">
        <f>IF($A683="","",IFERROR(AVERAGEIFS(Orders_Log!$H:$H,Orders_Log!$C:$C,$A683,Orders_Log!$H:$H,"&gt;0"),0))</f>
        <v/>
      </c>
      <c r="H683">
        <f>IF($A683="","",COUNTIFS(Orders_Log!$C:$C,$A683,Orders_Log!$P:$P,"Returned to Picker"))</f>
        <v/>
      </c>
    </row>
    <row r="684">
      <c r="B684">
        <f>IF($A684="","",COUNTIFS(Orders_Log!$C:$C,$A684,Orders_Log!$B:$B,"&lt;&gt;"))</f>
        <v/>
      </c>
      <c r="C684">
        <f>IF($A684="","",COUNTIFS(Orders_Log!$C:$C,$A684,Orders_Log!$M:$M,"Yes"))</f>
        <v/>
      </c>
      <c r="D684" s="5">
        <f>IF(B684=0,0,C684/B684)</f>
        <v/>
      </c>
      <c r="E684">
        <f>IF($A684="","",SUMIFS(Orders_Log!$I:$I,Orders_Log!$C:$C,$A684))</f>
        <v/>
      </c>
      <c r="F684">
        <f>IF(B684=0,0,E684/B684)</f>
        <v/>
      </c>
      <c r="G684">
        <f>IF($A684="","",IFERROR(AVERAGEIFS(Orders_Log!$H:$H,Orders_Log!$C:$C,$A684,Orders_Log!$H:$H,"&gt;0"),0))</f>
        <v/>
      </c>
      <c r="H684">
        <f>IF($A684="","",COUNTIFS(Orders_Log!$C:$C,$A684,Orders_Log!$P:$P,"Returned to Picker"))</f>
        <v/>
      </c>
    </row>
    <row r="685">
      <c r="B685">
        <f>IF($A685="","",COUNTIFS(Orders_Log!$C:$C,$A685,Orders_Log!$B:$B,"&lt;&gt;"))</f>
        <v/>
      </c>
      <c r="C685">
        <f>IF($A685="","",COUNTIFS(Orders_Log!$C:$C,$A685,Orders_Log!$M:$M,"Yes"))</f>
        <v/>
      </c>
      <c r="D685" s="5">
        <f>IF(B685=0,0,C685/B685)</f>
        <v/>
      </c>
      <c r="E685">
        <f>IF($A685="","",SUMIFS(Orders_Log!$I:$I,Orders_Log!$C:$C,$A685))</f>
        <v/>
      </c>
      <c r="F685">
        <f>IF(B685=0,0,E685/B685)</f>
        <v/>
      </c>
      <c r="G685">
        <f>IF($A685="","",IFERROR(AVERAGEIFS(Orders_Log!$H:$H,Orders_Log!$C:$C,$A685,Orders_Log!$H:$H,"&gt;0"),0))</f>
        <v/>
      </c>
      <c r="H685">
        <f>IF($A685="","",COUNTIFS(Orders_Log!$C:$C,$A685,Orders_Log!$P:$P,"Returned to Picker"))</f>
        <v/>
      </c>
    </row>
    <row r="686">
      <c r="B686">
        <f>IF($A686="","",COUNTIFS(Orders_Log!$C:$C,$A686,Orders_Log!$B:$B,"&lt;&gt;"))</f>
        <v/>
      </c>
      <c r="C686">
        <f>IF($A686="","",COUNTIFS(Orders_Log!$C:$C,$A686,Orders_Log!$M:$M,"Yes"))</f>
        <v/>
      </c>
      <c r="D686" s="5">
        <f>IF(B686=0,0,C686/B686)</f>
        <v/>
      </c>
      <c r="E686">
        <f>IF($A686="","",SUMIFS(Orders_Log!$I:$I,Orders_Log!$C:$C,$A686))</f>
        <v/>
      </c>
      <c r="F686">
        <f>IF(B686=0,0,E686/B686)</f>
        <v/>
      </c>
      <c r="G686">
        <f>IF($A686="","",IFERROR(AVERAGEIFS(Orders_Log!$H:$H,Orders_Log!$C:$C,$A686,Orders_Log!$H:$H,"&gt;0"),0))</f>
        <v/>
      </c>
      <c r="H686">
        <f>IF($A686="","",COUNTIFS(Orders_Log!$C:$C,$A686,Orders_Log!$P:$P,"Returned to Picker"))</f>
        <v/>
      </c>
    </row>
    <row r="687">
      <c r="B687">
        <f>IF($A687="","",COUNTIFS(Orders_Log!$C:$C,$A687,Orders_Log!$B:$B,"&lt;&gt;"))</f>
        <v/>
      </c>
      <c r="C687">
        <f>IF($A687="","",COUNTIFS(Orders_Log!$C:$C,$A687,Orders_Log!$M:$M,"Yes"))</f>
        <v/>
      </c>
      <c r="D687" s="5">
        <f>IF(B687=0,0,C687/B687)</f>
        <v/>
      </c>
      <c r="E687">
        <f>IF($A687="","",SUMIFS(Orders_Log!$I:$I,Orders_Log!$C:$C,$A687))</f>
        <v/>
      </c>
      <c r="F687">
        <f>IF(B687=0,0,E687/B687)</f>
        <v/>
      </c>
      <c r="G687">
        <f>IF($A687="","",IFERROR(AVERAGEIFS(Orders_Log!$H:$H,Orders_Log!$C:$C,$A687,Orders_Log!$H:$H,"&gt;0"),0))</f>
        <v/>
      </c>
      <c r="H687">
        <f>IF($A687="","",COUNTIFS(Orders_Log!$C:$C,$A687,Orders_Log!$P:$P,"Returned to Picker"))</f>
        <v/>
      </c>
    </row>
    <row r="688">
      <c r="B688">
        <f>IF($A688="","",COUNTIFS(Orders_Log!$C:$C,$A688,Orders_Log!$B:$B,"&lt;&gt;"))</f>
        <v/>
      </c>
      <c r="C688">
        <f>IF($A688="","",COUNTIFS(Orders_Log!$C:$C,$A688,Orders_Log!$M:$M,"Yes"))</f>
        <v/>
      </c>
      <c r="D688" s="5">
        <f>IF(B688=0,0,C688/B688)</f>
        <v/>
      </c>
      <c r="E688">
        <f>IF($A688="","",SUMIFS(Orders_Log!$I:$I,Orders_Log!$C:$C,$A688))</f>
        <v/>
      </c>
      <c r="F688">
        <f>IF(B688=0,0,E688/B688)</f>
        <v/>
      </c>
      <c r="G688">
        <f>IF($A688="","",IFERROR(AVERAGEIFS(Orders_Log!$H:$H,Orders_Log!$C:$C,$A688,Orders_Log!$H:$H,"&gt;0"),0))</f>
        <v/>
      </c>
      <c r="H688">
        <f>IF($A688="","",COUNTIFS(Orders_Log!$C:$C,$A688,Orders_Log!$P:$P,"Returned to Picker"))</f>
        <v/>
      </c>
    </row>
    <row r="689">
      <c r="B689">
        <f>IF($A689="","",COUNTIFS(Orders_Log!$C:$C,$A689,Orders_Log!$B:$B,"&lt;&gt;"))</f>
        <v/>
      </c>
      <c r="C689">
        <f>IF($A689="","",COUNTIFS(Orders_Log!$C:$C,$A689,Orders_Log!$M:$M,"Yes"))</f>
        <v/>
      </c>
      <c r="D689" s="5">
        <f>IF(B689=0,0,C689/B689)</f>
        <v/>
      </c>
      <c r="E689">
        <f>IF($A689="","",SUMIFS(Orders_Log!$I:$I,Orders_Log!$C:$C,$A689))</f>
        <v/>
      </c>
      <c r="F689">
        <f>IF(B689=0,0,E689/B689)</f>
        <v/>
      </c>
      <c r="G689">
        <f>IF($A689="","",IFERROR(AVERAGEIFS(Orders_Log!$H:$H,Orders_Log!$C:$C,$A689,Orders_Log!$H:$H,"&gt;0"),0))</f>
        <v/>
      </c>
      <c r="H689">
        <f>IF($A689="","",COUNTIFS(Orders_Log!$C:$C,$A689,Orders_Log!$P:$P,"Returned to Picker"))</f>
        <v/>
      </c>
    </row>
    <row r="690">
      <c r="B690">
        <f>IF($A690="","",COUNTIFS(Orders_Log!$C:$C,$A690,Orders_Log!$B:$B,"&lt;&gt;"))</f>
        <v/>
      </c>
      <c r="C690">
        <f>IF($A690="","",COUNTIFS(Orders_Log!$C:$C,$A690,Orders_Log!$M:$M,"Yes"))</f>
        <v/>
      </c>
      <c r="D690" s="5">
        <f>IF(B690=0,0,C690/B690)</f>
        <v/>
      </c>
      <c r="E690">
        <f>IF($A690="","",SUMIFS(Orders_Log!$I:$I,Orders_Log!$C:$C,$A690))</f>
        <v/>
      </c>
      <c r="F690">
        <f>IF(B690=0,0,E690/B690)</f>
        <v/>
      </c>
      <c r="G690">
        <f>IF($A690="","",IFERROR(AVERAGEIFS(Orders_Log!$H:$H,Orders_Log!$C:$C,$A690,Orders_Log!$H:$H,"&gt;0"),0))</f>
        <v/>
      </c>
      <c r="H690">
        <f>IF($A690="","",COUNTIFS(Orders_Log!$C:$C,$A690,Orders_Log!$P:$P,"Returned to Picker"))</f>
        <v/>
      </c>
    </row>
    <row r="691">
      <c r="B691">
        <f>IF($A691="","",COUNTIFS(Orders_Log!$C:$C,$A691,Orders_Log!$B:$B,"&lt;&gt;"))</f>
        <v/>
      </c>
      <c r="C691">
        <f>IF($A691="","",COUNTIFS(Orders_Log!$C:$C,$A691,Orders_Log!$M:$M,"Yes"))</f>
        <v/>
      </c>
      <c r="D691" s="5">
        <f>IF(B691=0,0,C691/B691)</f>
        <v/>
      </c>
      <c r="E691">
        <f>IF($A691="","",SUMIFS(Orders_Log!$I:$I,Orders_Log!$C:$C,$A691))</f>
        <v/>
      </c>
      <c r="F691">
        <f>IF(B691=0,0,E691/B691)</f>
        <v/>
      </c>
      <c r="G691">
        <f>IF($A691="","",IFERROR(AVERAGEIFS(Orders_Log!$H:$H,Orders_Log!$C:$C,$A691,Orders_Log!$H:$H,"&gt;0"),0))</f>
        <v/>
      </c>
      <c r="H691">
        <f>IF($A691="","",COUNTIFS(Orders_Log!$C:$C,$A691,Orders_Log!$P:$P,"Returned to Picker"))</f>
        <v/>
      </c>
    </row>
    <row r="692">
      <c r="B692">
        <f>IF($A692="","",COUNTIFS(Orders_Log!$C:$C,$A692,Orders_Log!$B:$B,"&lt;&gt;"))</f>
        <v/>
      </c>
      <c r="C692">
        <f>IF($A692="","",COUNTIFS(Orders_Log!$C:$C,$A692,Orders_Log!$M:$M,"Yes"))</f>
        <v/>
      </c>
      <c r="D692" s="5">
        <f>IF(B692=0,0,C692/B692)</f>
        <v/>
      </c>
      <c r="E692">
        <f>IF($A692="","",SUMIFS(Orders_Log!$I:$I,Orders_Log!$C:$C,$A692))</f>
        <v/>
      </c>
      <c r="F692">
        <f>IF(B692=0,0,E692/B692)</f>
        <v/>
      </c>
      <c r="G692">
        <f>IF($A692="","",IFERROR(AVERAGEIFS(Orders_Log!$H:$H,Orders_Log!$C:$C,$A692,Orders_Log!$H:$H,"&gt;0"),0))</f>
        <v/>
      </c>
      <c r="H692">
        <f>IF($A692="","",COUNTIFS(Orders_Log!$C:$C,$A692,Orders_Log!$P:$P,"Returned to Picker"))</f>
        <v/>
      </c>
    </row>
    <row r="693">
      <c r="B693">
        <f>IF($A693="","",COUNTIFS(Orders_Log!$C:$C,$A693,Orders_Log!$B:$B,"&lt;&gt;"))</f>
        <v/>
      </c>
      <c r="C693">
        <f>IF($A693="","",COUNTIFS(Orders_Log!$C:$C,$A693,Orders_Log!$M:$M,"Yes"))</f>
        <v/>
      </c>
      <c r="D693" s="5">
        <f>IF(B693=0,0,C693/B693)</f>
        <v/>
      </c>
      <c r="E693">
        <f>IF($A693="","",SUMIFS(Orders_Log!$I:$I,Orders_Log!$C:$C,$A693))</f>
        <v/>
      </c>
      <c r="F693">
        <f>IF(B693=0,0,E693/B693)</f>
        <v/>
      </c>
      <c r="G693">
        <f>IF($A693="","",IFERROR(AVERAGEIFS(Orders_Log!$H:$H,Orders_Log!$C:$C,$A693,Orders_Log!$H:$H,"&gt;0"),0))</f>
        <v/>
      </c>
      <c r="H693">
        <f>IF($A693="","",COUNTIFS(Orders_Log!$C:$C,$A693,Orders_Log!$P:$P,"Returned to Picker"))</f>
        <v/>
      </c>
    </row>
    <row r="694">
      <c r="B694">
        <f>IF($A694="","",COUNTIFS(Orders_Log!$C:$C,$A694,Orders_Log!$B:$B,"&lt;&gt;"))</f>
        <v/>
      </c>
      <c r="C694">
        <f>IF($A694="","",COUNTIFS(Orders_Log!$C:$C,$A694,Orders_Log!$M:$M,"Yes"))</f>
        <v/>
      </c>
      <c r="D694" s="5">
        <f>IF(B694=0,0,C694/B694)</f>
        <v/>
      </c>
      <c r="E694">
        <f>IF($A694="","",SUMIFS(Orders_Log!$I:$I,Orders_Log!$C:$C,$A694))</f>
        <v/>
      </c>
      <c r="F694">
        <f>IF(B694=0,0,E694/B694)</f>
        <v/>
      </c>
      <c r="G694">
        <f>IF($A694="","",IFERROR(AVERAGEIFS(Orders_Log!$H:$H,Orders_Log!$C:$C,$A694,Orders_Log!$H:$H,"&gt;0"),0))</f>
        <v/>
      </c>
      <c r="H694">
        <f>IF($A694="","",COUNTIFS(Orders_Log!$C:$C,$A694,Orders_Log!$P:$P,"Returned to Picker"))</f>
        <v/>
      </c>
    </row>
    <row r="695">
      <c r="B695">
        <f>IF($A695="","",COUNTIFS(Orders_Log!$C:$C,$A695,Orders_Log!$B:$B,"&lt;&gt;"))</f>
        <v/>
      </c>
      <c r="C695">
        <f>IF($A695="","",COUNTIFS(Orders_Log!$C:$C,$A695,Orders_Log!$M:$M,"Yes"))</f>
        <v/>
      </c>
      <c r="D695" s="5">
        <f>IF(B695=0,0,C695/B695)</f>
        <v/>
      </c>
      <c r="E695">
        <f>IF($A695="","",SUMIFS(Orders_Log!$I:$I,Orders_Log!$C:$C,$A695))</f>
        <v/>
      </c>
      <c r="F695">
        <f>IF(B695=0,0,E695/B695)</f>
        <v/>
      </c>
      <c r="G695">
        <f>IF($A695="","",IFERROR(AVERAGEIFS(Orders_Log!$H:$H,Orders_Log!$C:$C,$A695,Orders_Log!$H:$H,"&gt;0"),0))</f>
        <v/>
      </c>
      <c r="H695">
        <f>IF($A695="","",COUNTIFS(Orders_Log!$C:$C,$A695,Orders_Log!$P:$P,"Returned to Picker"))</f>
        <v/>
      </c>
    </row>
    <row r="696">
      <c r="B696">
        <f>IF($A696="","",COUNTIFS(Orders_Log!$C:$C,$A696,Orders_Log!$B:$B,"&lt;&gt;"))</f>
        <v/>
      </c>
      <c r="C696">
        <f>IF($A696="","",COUNTIFS(Orders_Log!$C:$C,$A696,Orders_Log!$M:$M,"Yes"))</f>
        <v/>
      </c>
      <c r="D696" s="5">
        <f>IF(B696=0,0,C696/B696)</f>
        <v/>
      </c>
      <c r="E696">
        <f>IF($A696="","",SUMIFS(Orders_Log!$I:$I,Orders_Log!$C:$C,$A696))</f>
        <v/>
      </c>
      <c r="F696">
        <f>IF(B696=0,0,E696/B696)</f>
        <v/>
      </c>
      <c r="G696">
        <f>IF($A696="","",IFERROR(AVERAGEIFS(Orders_Log!$H:$H,Orders_Log!$C:$C,$A696,Orders_Log!$H:$H,"&gt;0"),0))</f>
        <v/>
      </c>
      <c r="H696">
        <f>IF($A696="","",COUNTIFS(Orders_Log!$C:$C,$A696,Orders_Log!$P:$P,"Returned to Picker"))</f>
        <v/>
      </c>
    </row>
    <row r="697">
      <c r="B697">
        <f>IF($A697="","",COUNTIFS(Orders_Log!$C:$C,$A697,Orders_Log!$B:$B,"&lt;&gt;"))</f>
        <v/>
      </c>
      <c r="C697">
        <f>IF($A697="","",COUNTIFS(Orders_Log!$C:$C,$A697,Orders_Log!$M:$M,"Yes"))</f>
        <v/>
      </c>
      <c r="D697" s="5">
        <f>IF(B697=0,0,C697/B697)</f>
        <v/>
      </c>
      <c r="E697">
        <f>IF($A697="","",SUMIFS(Orders_Log!$I:$I,Orders_Log!$C:$C,$A697))</f>
        <v/>
      </c>
      <c r="F697">
        <f>IF(B697=0,0,E697/B697)</f>
        <v/>
      </c>
      <c r="G697">
        <f>IF($A697="","",IFERROR(AVERAGEIFS(Orders_Log!$H:$H,Orders_Log!$C:$C,$A697,Orders_Log!$H:$H,"&gt;0"),0))</f>
        <v/>
      </c>
      <c r="H697">
        <f>IF($A697="","",COUNTIFS(Orders_Log!$C:$C,$A697,Orders_Log!$P:$P,"Returned to Picker"))</f>
        <v/>
      </c>
    </row>
    <row r="698">
      <c r="B698">
        <f>IF($A698="","",COUNTIFS(Orders_Log!$C:$C,$A698,Orders_Log!$B:$B,"&lt;&gt;"))</f>
        <v/>
      </c>
      <c r="C698">
        <f>IF($A698="","",COUNTIFS(Orders_Log!$C:$C,$A698,Orders_Log!$M:$M,"Yes"))</f>
        <v/>
      </c>
      <c r="D698" s="5">
        <f>IF(B698=0,0,C698/B698)</f>
        <v/>
      </c>
      <c r="E698">
        <f>IF($A698="","",SUMIFS(Orders_Log!$I:$I,Orders_Log!$C:$C,$A698))</f>
        <v/>
      </c>
      <c r="F698">
        <f>IF(B698=0,0,E698/B698)</f>
        <v/>
      </c>
      <c r="G698">
        <f>IF($A698="","",IFERROR(AVERAGEIFS(Orders_Log!$H:$H,Orders_Log!$C:$C,$A698,Orders_Log!$H:$H,"&gt;0"),0))</f>
        <v/>
      </c>
      <c r="H698">
        <f>IF($A698="","",COUNTIFS(Orders_Log!$C:$C,$A698,Orders_Log!$P:$P,"Returned to Picker"))</f>
        <v/>
      </c>
    </row>
    <row r="699">
      <c r="B699">
        <f>IF($A699="","",COUNTIFS(Orders_Log!$C:$C,$A699,Orders_Log!$B:$B,"&lt;&gt;"))</f>
        <v/>
      </c>
      <c r="C699">
        <f>IF($A699="","",COUNTIFS(Orders_Log!$C:$C,$A699,Orders_Log!$M:$M,"Yes"))</f>
        <v/>
      </c>
      <c r="D699" s="5">
        <f>IF(B699=0,0,C699/B699)</f>
        <v/>
      </c>
      <c r="E699">
        <f>IF($A699="","",SUMIFS(Orders_Log!$I:$I,Orders_Log!$C:$C,$A699))</f>
        <v/>
      </c>
      <c r="F699">
        <f>IF(B699=0,0,E699/B699)</f>
        <v/>
      </c>
      <c r="G699">
        <f>IF($A699="","",IFERROR(AVERAGEIFS(Orders_Log!$H:$H,Orders_Log!$C:$C,$A699,Orders_Log!$H:$H,"&gt;0"),0))</f>
        <v/>
      </c>
      <c r="H699">
        <f>IF($A699="","",COUNTIFS(Orders_Log!$C:$C,$A699,Orders_Log!$P:$P,"Returned to Picker"))</f>
        <v/>
      </c>
    </row>
    <row r="700">
      <c r="B700">
        <f>IF($A700="","",COUNTIFS(Orders_Log!$C:$C,$A700,Orders_Log!$B:$B,"&lt;&gt;"))</f>
        <v/>
      </c>
      <c r="C700">
        <f>IF($A700="","",COUNTIFS(Orders_Log!$C:$C,$A700,Orders_Log!$M:$M,"Yes"))</f>
        <v/>
      </c>
      <c r="D700" s="5">
        <f>IF(B700=0,0,C700/B700)</f>
        <v/>
      </c>
      <c r="E700">
        <f>IF($A700="","",SUMIFS(Orders_Log!$I:$I,Orders_Log!$C:$C,$A700))</f>
        <v/>
      </c>
      <c r="F700">
        <f>IF(B700=0,0,E700/B700)</f>
        <v/>
      </c>
      <c r="G700">
        <f>IF($A700="","",IFERROR(AVERAGEIFS(Orders_Log!$H:$H,Orders_Log!$C:$C,$A700,Orders_Log!$H:$H,"&gt;0"),0))</f>
        <v/>
      </c>
      <c r="H700">
        <f>IF($A700="","",COUNTIFS(Orders_Log!$C:$C,$A700,Orders_Log!$P:$P,"Returned to Picker"))</f>
        <v/>
      </c>
    </row>
    <row r="701">
      <c r="B701">
        <f>IF($A701="","",COUNTIFS(Orders_Log!$C:$C,$A701,Orders_Log!$B:$B,"&lt;&gt;"))</f>
        <v/>
      </c>
      <c r="C701">
        <f>IF($A701="","",COUNTIFS(Orders_Log!$C:$C,$A701,Orders_Log!$M:$M,"Yes"))</f>
        <v/>
      </c>
      <c r="D701" s="5">
        <f>IF(B701=0,0,C701/B701)</f>
        <v/>
      </c>
      <c r="E701">
        <f>IF($A701="","",SUMIFS(Orders_Log!$I:$I,Orders_Log!$C:$C,$A701))</f>
        <v/>
      </c>
      <c r="F701">
        <f>IF(B701=0,0,E701/B701)</f>
        <v/>
      </c>
      <c r="G701">
        <f>IF($A701="","",IFERROR(AVERAGEIFS(Orders_Log!$H:$H,Orders_Log!$C:$C,$A701,Orders_Log!$H:$H,"&gt;0"),0))</f>
        <v/>
      </c>
      <c r="H701">
        <f>IF($A701="","",COUNTIFS(Orders_Log!$C:$C,$A701,Orders_Log!$P:$P,"Returned to Picker"))</f>
        <v/>
      </c>
    </row>
    <row r="702">
      <c r="B702">
        <f>IF($A702="","",COUNTIFS(Orders_Log!$C:$C,$A702,Orders_Log!$B:$B,"&lt;&gt;"))</f>
        <v/>
      </c>
      <c r="C702">
        <f>IF($A702="","",COUNTIFS(Orders_Log!$C:$C,$A702,Orders_Log!$M:$M,"Yes"))</f>
        <v/>
      </c>
      <c r="D702" s="5">
        <f>IF(B702=0,0,C702/B702)</f>
        <v/>
      </c>
      <c r="E702">
        <f>IF($A702="","",SUMIFS(Orders_Log!$I:$I,Orders_Log!$C:$C,$A702))</f>
        <v/>
      </c>
      <c r="F702">
        <f>IF(B702=0,0,E702/B702)</f>
        <v/>
      </c>
      <c r="G702">
        <f>IF($A702="","",IFERROR(AVERAGEIFS(Orders_Log!$H:$H,Orders_Log!$C:$C,$A702,Orders_Log!$H:$H,"&gt;0"),0))</f>
        <v/>
      </c>
      <c r="H702">
        <f>IF($A702="","",COUNTIFS(Orders_Log!$C:$C,$A702,Orders_Log!$P:$P,"Returned to Picker"))</f>
        <v/>
      </c>
    </row>
    <row r="703">
      <c r="B703">
        <f>IF($A703="","",COUNTIFS(Orders_Log!$C:$C,$A703,Orders_Log!$B:$B,"&lt;&gt;"))</f>
        <v/>
      </c>
      <c r="C703">
        <f>IF($A703="","",COUNTIFS(Orders_Log!$C:$C,$A703,Orders_Log!$M:$M,"Yes"))</f>
        <v/>
      </c>
      <c r="D703" s="5">
        <f>IF(B703=0,0,C703/B703)</f>
        <v/>
      </c>
      <c r="E703">
        <f>IF($A703="","",SUMIFS(Orders_Log!$I:$I,Orders_Log!$C:$C,$A703))</f>
        <v/>
      </c>
      <c r="F703">
        <f>IF(B703=0,0,E703/B703)</f>
        <v/>
      </c>
      <c r="G703">
        <f>IF($A703="","",IFERROR(AVERAGEIFS(Orders_Log!$H:$H,Orders_Log!$C:$C,$A703,Orders_Log!$H:$H,"&gt;0"),0))</f>
        <v/>
      </c>
      <c r="H703">
        <f>IF($A703="","",COUNTIFS(Orders_Log!$C:$C,$A703,Orders_Log!$P:$P,"Returned to Picker"))</f>
        <v/>
      </c>
    </row>
    <row r="704">
      <c r="B704">
        <f>IF($A704="","",COUNTIFS(Orders_Log!$C:$C,$A704,Orders_Log!$B:$B,"&lt;&gt;"))</f>
        <v/>
      </c>
      <c r="C704">
        <f>IF($A704="","",COUNTIFS(Orders_Log!$C:$C,$A704,Orders_Log!$M:$M,"Yes"))</f>
        <v/>
      </c>
      <c r="D704" s="5">
        <f>IF(B704=0,0,C704/B704)</f>
        <v/>
      </c>
      <c r="E704">
        <f>IF($A704="","",SUMIFS(Orders_Log!$I:$I,Orders_Log!$C:$C,$A704))</f>
        <v/>
      </c>
      <c r="F704">
        <f>IF(B704=0,0,E704/B704)</f>
        <v/>
      </c>
      <c r="G704">
        <f>IF($A704="","",IFERROR(AVERAGEIFS(Orders_Log!$H:$H,Orders_Log!$C:$C,$A704,Orders_Log!$H:$H,"&gt;0"),0))</f>
        <v/>
      </c>
      <c r="H704">
        <f>IF($A704="","",COUNTIFS(Orders_Log!$C:$C,$A704,Orders_Log!$P:$P,"Returned to Picker"))</f>
        <v/>
      </c>
    </row>
    <row r="705">
      <c r="B705">
        <f>IF($A705="","",COUNTIFS(Orders_Log!$C:$C,$A705,Orders_Log!$B:$B,"&lt;&gt;"))</f>
        <v/>
      </c>
      <c r="C705">
        <f>IF($A705="","",COUNTIFS(Orders_Log!$C:$C,$A705,Orders_Log!$M:$M,"Yes"))</f>
        <v/>
      </c>
      <c r="D705" s="5">
        <f>IF(B705=0,0,C705/B705)</f>
        <v/>
      </c>
      <c r="E705">
        <f>IF($A705="","",SUMIFS(Orders_Log!$I:$I,Orders_Log!$C:$C,$A705))</f>
        <v/>
      </c>
      <c r="F705">
        <f>IF(B705=0,0,E705/B705)</f>
        <v/>
      </c>
      <c r="G705">
        <f>IF($A705="","",IFERROR(AVERAGEIFS(Orders_Log!$H:$H,Orders_Log!$C:$C,$A705,Orders_Log!$H:$H,"&gt;0"),0))</f>
        <v/>
      </c>
      <c r="H705">
        <f>IF($A705="","",COUNTIFS(Orders_Log!$C:$C,$A705,Orders_Log!$P:$P,"Returned to Picker"))</f>
        <v/>
      </c>
    </row>
    <row r="706">
      <c r="B706">
        <f>IF($A706="","",COUNTIFS(Orders_Log!$C:$C,$A706,Orders_Log!$B:$B,"&lt;&gt;"))</f>
        <v/>
      </c>
      <c r="C706">
        <f>IF($A706="","",COUNTIFS(Orders_Log!$C:$C,$A706,Orders_Log!$M:$M,"Yes"))</f>
        <v/>
      </c>
      <c r="D706" s="5">
        <f>IF(B706=0,0,C706/B706)</f>
        <v/>
      </c>
      <c r="E706">
        <f>IF($A706="","",SUMIFS(Orders_Log!$I:$I,Orders_Log!$C:$C,$A706))</f>
        <v/>
      </c>
      <c r="F706">
        <f>IF(B706=0,0,E706/B706)</f>
        <v/>
      </c>
      <c r="G706">
        <f>IF($A706="","",IFERROR(AVERAGEIFS(Orders_Log!$H:$H,Orders_Log!$C:$C,$A706,Orders_Log!$H:$H,"&gt;0"),0))</f>
        <v/>
      </c>
      <c r="H706">
        <f>IF($A706="","",COUNTIFS(Orders_Log!$C:$C,$A706,Orders_Log!$P:$P,"Returned to Picker"))</f>
        <v/>
      </c>
    </row>
    <row r="707">
      <c r="B707">
        <f>IF($A707="","",COUNTIFS(Orders_Log!$C:$C,$A707,Orders_Log!$B:$B,"&lt;&gt;"))</f>
        <v/>
      </c>
      <c r="C707">
        <f>IF($A707="","",COUNTIFS(Orders_Log!$C:$C,$A707,Orders_Log!$M:$M,"Yes"))</f>
        <v/>
      </c>
      <c r="D707" s="5">
        <f>IF(B707=0,0,C707/B707)</f>
        <v/>
      </c>
      <c r="E707">
        <f>IF($A707="","",SUMIFS(Orders_Log!$I:$I,Orders_Log!$C:$C,$A707))</f>
        <v/>
      </c>
      <c r="F707">
        <f>IF(B707=0,0,E707/B707)</f>
        <v/>
      </c>
      <c r="G707">
        <f>IF($A707="","",IFERROR(AVERAGEIFS(Orders_Log!$H:$H,Orders_Log!$C:$C,$A707,Orders_Log!$H:$H,"&gt;0"),0))</f>
        <v/>
      </c>
      <c r="H707">
        <f>IF($A707="","",COUNTIFS(Orders_Log!$C:$C,$A707,Orders_Log!$P:$P,"Returned to Picker"))</f>
        <v/>
      </c>
    </row>
    <row r="708">
      <c r="B708">
        <f>IF($A708="","",COUNTIFS(Orders_Log!$C:$C,$A708,Orders_Log!$B:$B,"&lt;&gt;"))</f>
        <v/>
      </c>
      <c r="C708">
        <f>IF($A708="","",COUNTIFS(Orders_Log!$C:$C,$A708,Orders_Log!$M:$M,"Yes"))</f>
        <v/>
      </c>
      <c r="D708" s="5">
        <f>IF(B708=0,0,C708/B708)</f>
        <v/>
      </c>
      <c r="E708">
        <f>IF($A708="","",SUMIFS(Orders_Log!$I:$I,Orders_Log!$C:$C,$A708))</f>
        <v/>
      </c>
      <c r="F708">
        <f>IF(B708=0,0,E708/B708)</f>
        <v/>
      </c>
      <c r="G708">
        <f>IF($A708="","",IFERROR(AVERAGEIFS(Orders_Log!$H:$H,Orders_Log!$C:$C,$A708,Orders_Log!$H:$H,"&gt;0"),0))</f>
        <v/>
      </c>
      <c r="H708">
        <f>IF($A708="","",COUNTIFS(Orders_Log!$C:$C,$A708,Orders_Log!$P:$P,"Returned to Picker"))</f>
        <v/>
      </c>
    </row>
    <row r="709">
      <c r="B709">
        <f>IF($A709="","",COUNTIFS(Orders_Log!$C:$C,$A709,Orders_Log!$B:$B,"&lt;&gt;"))</f>
        <v/>
      </c>
      <c r="C709">
        <f>IF($A709="","",COUNTIFS(Orders_Log!$C:$C,$A709,Orders_Log!$M:$M,"Yes"))</f>
        <v/>
      </c>
      <c r="D709" s="5">
        <f>IF(B709=0,0,C709/B709)</f>
        <v/>
      </c>
      <c r="E709">
        <f>IF($A709="","",SUMIFS(Orders_Log!$I:$I,Orders_Log!$C:$C,$A709))</f>
        <v/>
      </c>
      <c r="F709">
        <f>IF(B709=0,0,E709/B709)</f>
        <v/>
      </c>
      <c r="G709">
        <f>IF($A709="","",IFERROR(AVERAGEIFS(Orders_Log!$H:$H,Orders_Log!$C:$C,$A709,Orders_Log!$H:$H,"&gt;0"),0))</f>
        <v/>
      </c>
      <c r="H709">
        <f>IF($A709="","",COUNTIFS(Orders_Log!$C:$C,$A709,Orders_Log!$P:$P,"Returned to Picker"))</f>
        <v/>
      </c>
    </row>
    <row r="710">
      <c r="B710">
        <f>IF($A710="","",COUNTIFS(Orders_Log!$C:$C,$A710,Orders_Log!$B:$B,"&lt;&gt;"))</f>
        <v/>
      </c>
      <c r="C710">
        <f>IF($A710="","",COUNTIFS(Orders_Log!$C:$C,$A710,Orders_Log!$M:$M,"Yes"))</f>
        <v/>
      </c>
      <c r="D710" s="5">
        <f>IF(B710=0,0,C710/B710)</f>
        <v/>
      </c>
      <c r="E710">
        <f>IF($A710="","",SUMIFS(Orders_Log!$I:$I,Orders_Log!$C:$C,$A710))</f>
        <v/>
      </c>
      <c r="F710">
        <f>IF(B710=0,0,E710/B710)</f>
        <v/>
      </c>
      <c r="G710">
        <f>IF($A710="","",IFERROR(AVERAGEIFS(Orders_Log!$H:$H,Orders_Log!$C:$C,$A710,Orders_Log!$H:$H,"&gt;0"),0))</f>
        <v/>
      </c>
      <c r="H710">
        <f>IF($A710="","",COUNTIFS(Orders_Log!$C:$C,$A710,Orders_Log!$P:$P,"Returned to Picker"))</f>
        <v/>
      </c>
    </row>
    <row r="711">
      <c r="B711">
        <f>IF($A711="","",COUNTIFS(Orders_Log!$C:$C,$A711,Orders_Log!$B:$B,"&lt;&gt;"))</f>
        <v/>
      </c>
      <c r="C711">
        <f>IF($A711="","",COUNTIFS(Orders_Log!$C:$C,$A711,Orders_Log!$M:$M,"Yes"))</f>
        <v/>
      </c>
      <c r="D711" s="5">
        <f>IF(B711=0,0,C711/B711)</f>
        <v/>
      </c>
      <c r="E711">
        <f>IF($A711="","",SUMIFS(Orders_Log!$I:$I,Orders_Log!$C:$C,$A711))</f>
        <v/>
      </c>
      <c r="F711">
        <f>IF(B711=0,0,E711/B711)</f>
        <v/>
      </c>
      <c r="G711">
        <f>IF($A711="","",IFERROR(AVERAGEIFS(Orders_Log!$H:$H,Orders_Log!$C:$C,$A711,Orders_Log!$H:$H,"&gt;0"),0))</f>
        <v/>
      </c>
      <c r="H711">
        <f>IF($A711="","",COUNTIFS(Orders_Log!$C:$C,$A711,Orders_Log!$P:$P,"Returned to Picker"))</f>
        <v/>
      </c>
    </row>
    <row r="712">
      <c r="B712">
        <f>IF($A712="","",COUNTIFS(Orders_Log!$C:$C,$A712,Orders_Log!$B:$B,"&lt;&gt;"))</f>
        <v/>
      </c>
      <c r="C712">
        <f>IF($A712="","",COUNTIFS(Orders_Log!$C:$C,$A712,Orders_Log!$M:$M,"Yes"))</f>
        <v/>
      </c>
      <c r="D712" s="5">
        <f>IF(B712=0,0,C712/B712)</f>
        <v/>
      </c>
      <c r="E712">
        <f>IF($A712="","",SUMIFS(Orders_Log!$I:$I,Orders_Log!$C:$C,$A712))</f>
        <v/>
      </c>
      <c r="F712">
        <f>IF(B712=0,0,E712/B712)</f>
        <v/>
      </c>
      <c r="G712">
        <f>IF($A712="","",IFERROR(AVERAGEIFS(Orders_Log!$H:$H,Orders_Log!$C:$C,$A712,Orders_Log!$H:$H,"&gt;0"),0))</f>
        <v/>
      </c>
      <c r="H712">
        <f>IF($A712="","",COUNTIFS(Orders_Log!$C:$C,$A712,Orders_Log!$P:$P,"Returned to Picker"))</f>
        <v/>
      </c>
    </row>
    <row r="713">
      <c r="B713">
        <f>IF($A713="","",COUNTIFS(Orders_Log!$C:$C,$A713,Orders_Log!$B:$B,"&lt;&gt;"))</f>
        <v/>
      </c>
      <c r="C713">
        <f>IF($A713="","",COUNTIFS(Orders_Log!$C:$C,$A713,Orders_Log!$M:$M,"Yes"))</f>
        <v/>
      </c>
      <c r="D713" s="5">
        <f>IF(B713=0,0,C713/B713)</f>
        <v/>
      </c>
      <c r="E713">
        <f>IF($A713="","",SUMIFS(Orders_Log!$I:$I,Orders_Log!$C:$C,$A713))</f>
        <v/>
      </c>
      <c r="F713">
        <f>IF(B713=0,0,E713/B713)</f>
        <v/>
      </c>
      <c r="G713">
        <f>IF($A713="","",IFERROR(AVERAGEIFS(Orders_Log!$H:$H,Orders_Log!$C:$C,$A713,Orders_Log!$H:$H,"&gt;0"),0))</f>
        <v/>
      </c>
      <c r="H713">
        <f>IF($A713="","",COUNTIFS(Orders_Log!$C:$C,$A713,Orders_Log!$P:$P,"Returned to Picker"))</f>
        <v/>
      </c>
    </row>
    <row r="714">
      <c r="B714">
        <f>IF($A714="","",COUNTIFS(Orders_Log!$C:$C,$A714,Orders_Log!$B:$B,"&lt;&gt;"))</f>
        <v/>
      </c>
      <c r="C714">
        <f>IF($A714="","",COUNTIFS(Orders_Log!$C:$C,$A714,Orders_Log!$M:$M,"Yes"))</f>
        <v/>
      </c>
      <c r="D714" s="5">
        <f>IF(B714=0,0,C714/B714)</f>
        <v/>
      </c>
      <c r="E714">
        <f>IF($A714="","",SUMIFS(Orders_Log!$I:$I,Orders_Log!$C:$C,$A714))</f>
        <v/>
      </c>
      <c r="F714">
        <f>IF(B714=0,0,E714/B714)</f>
        <v/>
      </c>
      <c r="G714">
        <f>IF($A714="","",IFERROR(AVERAGEIFS(Orders_Log!$H:$H,Orders_Log!$C:$C,$A714,Orders_Log!$H:$H,"&gt;0"),0))</f>
        <v/>
      </c>
      <c r="H714">
        <f>IF($A714="","",COUNTIFS(Orders_Log!$C:$C,$A714,Orders_Log!$P:$P,"Returned to Picker"))</f>
        <v/>
      </c>
    </row>
    <row r="715">
      <c r="B715">
        <f>IF($A715="","",COUNTIFS(Orders_Log!$C:$C,$A715,Orders_Log!$B:$B,"&lt;&gt;"))</f>
        <v/>
      </c>
      <c r="C715">
        <f>IF($A715="","",COUNTIFS(Orders_Log!$C:$C,$A715,Orders_Log!$M:$M,"Yes"))</f>
        <v/>
      </c>
      <c r="D715" s="5">
        <f>IF(B715=0,0,C715/B715)</f>
        <v/>
      </c>
      <c r="E715">
        <f>IF($A715="","",SUMIFS(Orders_Log!$I:$I,Orders_Log!$C:$C,$A715))</f>
        <v/>
      </c>
      <c r="F715">
        <f>IF(B715=0,0,E715/B715)</f>
        <v/>
      </c>
      <c r="G715">
        <f>IF($A715="","",IFERROR(AVERAGEIFS(Orders_Log!$H:$H,Orders_Log!$C:$C,$A715,Orders_Log!$H:$H,"&gt;0"),0))</f>
        <v/>
      </c>
      <c r="H715">
        <f>IF($A715="","",COUNTIFS(Orders_Log!$C:$C,$A715,Orders_Log!$P:$P,"Returned to Picker"))</f>
        <v/>
      </c>
    </row>
    <row r="716">
      <c r="B716">
        <f>IF($A716="","",COUNTIFS(Orders_Log!$C:$C,$A716,Orders_Log!$B:$B,"&lt;&gt;"))</f>
        <v/>
      </c>
      <c r="C716">
        <f>IF($A716="","",COUNTIFS(Orders_Log!$C:$C,$A716,Orders_Log!$M:$M,"Yes"))</f>
        <v/>
      </c>
      <c r="D716" s="5">
        <f>IF(B716=0,0,C716/B716)</f>
        <v/>
      </c>
      <c r="E716">
        <f>IF($A716="","",SUMIFS(Orders_Log!$I:$I,Orders_Log!$C:$C,$A716))</f>
        <v/>
      </c>
      <c r="F716">
        <f>IF(B716=0,0,E716/B716)</f>
        <v/>
      </c>
      <c r="G716">
        <f>IF($A716="","",IFERROR(AVERAGEIFS(Orders_Log!$H:$H,Orders_Log!$C:$C,$A716,Orders_Log!$H:$H,"&gt;0"),0))</f>
        <v/>
      </c>
      <c r="H716">
        <f>IF($A716="","",COUNTIFS(Orders_Log!$C:$C,$A716,Orders_Log!$P:$P,"Returned to Picker"))</f>
        <v/>
      </c>
    </row>
    <row r="717">
      <c r="B717">
        <f>IF($A717="","",COUNTIFS(Orders_Log!$C:$C,$A717,Orders_Log!$B:$B,"&lt;&gt;"))</f>
        <v/>
      </c>
      <c r="C717">
        <f>IF($A717="","",COUNTIFS(Orders_Log!$C:$C,$A717,Orders_Log!$M:$M,"Yes"))</f>
        <v/>
      </c>
      <c r="D717" s="5">
        <f>IF(B717=0,0,C717/B717)</f>
        <v/>
      </c>
      <c r="E717">
        <f>IF($A717="","",SUMIFS(Orders_Log!$I:$I,Orders_Log!$C:$C,$A717))</f>
        <v/>
      </c>
      <c r="F717">
        <f>IF(B717=0,0,E717/B717)</f>
        <v/>
      </c>
      <c r="G717">
        <f>IF($A717="","",IFERROR(AVERAGEIFS(Orders_Log!$H:$H,Orders_Log!$C:$C,$A717,Orders_Log!$H:$H,"&gt;0"),0))</f>
        <v/>
      </c>
      <c r="H717">
        <f>IF($A717="","",COUNTIFS(Orders_Log!$C:$C,$A717,Orders_Log!$P:$P,"Returned to Picker"))</f>
        <v/>
      </c>
    </row>
    <row r="718">
      <c r="B718">
        <f>IF($A718="","",COUNTIFS(Orders_Log!$C:$C,$A718,Orders_Log!$B:$B,"&lt;&gt;"))</f>
        <v/>
      </c>
      <c r="C718">
        <f>IF($A718="","",COUNTIFS(Orders_Log!$C:$C,$A718,Orders_Log!$M:$M,"Yes"))</f>
        <v/>
      </c>
      <c r="D718" s="5">
        <f>IF(B718=0,0,C718/B718)</f>
        <v/>
      </c>
      <c r="E718">
        <f>IF($A718="","",SUMIFS(Orders_Log!$I:$I,Orders_Log!$C:$C,$A718))</f>
        <v/>
      </c>
      <c r="F718">
        <f>IF(B718=0,0,E718/B718)</f>
        <v/>
      </c>
      <c r="G718">
        <f>IF($A718="","",IFERROR(AVERAGEIFS(Orders_Log!$H:$H,Orders_Log!$C:$C,$A718,Orders_Log!$H:$H,"&gt;0"),0))</f>
        <v/>
      </c>
      <c r="H718">
        <f>IF($A718="","",COUNTIFS(Orders_Log!$C:$C,$A718,Orders_Log!$P:$P,"Returned to Picker"))</f>
        <v/>
      </c>
    </row>
    <row r="719">
      <c r="B719">
        <f>IF($A719="","",COUNTIFS(Orders_Log!$C:$C,$A719,Orders_Log!$B:$B,"&lt;&gt;"))</f>
        <v/>
      </c>
      <c r="C719">
        <f>IF($A719="","",COUNTIFS(Orders_Log!$C:$C,$A719,Orders_Log!$M:$M,"Yes"))</f>
        <v/>
      </c>
      <c r="D719" s="5">
        <f>IF(B719=0,0,C719/B719)</f>
        <v/>
      </c>
      <c r="E719">
        <f>IF($A719="","",SUMIFS(Orders_Log!$I:$I,Orders_Log!$C:$C,$A719))</f>
        <v/>
      </c>
      <c r="F719">
        <f>IF(B719=0,0,E719/B719)</f>
        <v/>
      </c>
      <c r="G719">
        <f>IF($A719="","",IFERROR(AVERAGEIFS(Orders_Log!$H:$H,Orders_Log!$C:$C,$A719,Orders_Log!$H:$H,"&gt;0"),0))</f>
        <v/>
      </c>
      <c r="H719">
        <f>IF($A719="","",COUNTIFS(Orders_Log!$C:$C,$A719,Orders_Log!$P:$P,"Returned to Picker"))</f>
        <v/>
      </c>
    </row>
    <row r="720">
      <c r="B720">
        <f>IF($A720="","",COUNTIFS(Orders_Log!$C:$C,$A720,Orders_Log!$B:$B,"&lt;&gt;"))</f>
        <v/>
      </c>
      <c r="C720">
        <f>IF($A720="","",COUNTIFS(Orders_Log!$C:$C,$A720,Orders_Log!$M:$M,"Yes"))</f>
        <v/>
      </c>
      <c r="D720" s="5">
        <f>IF(B720=0,0,C720/B720)</f>
        <v/>
      </c>
      <c r="E720">
        <f>IF($A720="","",SUMIFS(Orders_Log!$I:$I,Orders_Log!$C:$C,$A720))</f>
        <v/>
      </c>
      <c r="F720">
        <f>IF(B720=0,0,E720/B720)</f>
        <v/>
      </c>
      <c r="G720">
        <f>IF($A720="","",IFERROR(AVERAGEIFS(Orders_Log!$H:$H,Orders_Log!$C:$C,$A720,Orders_Log!$H:$H,"&gt;0"),0))</f>
        <v/>
      </c>
      <c r="H720">
        <f>IF($A720="","",COUNTIFS(Orders_Log!$C:$C,$A720,Orders_Log!$P:$P,"Returned to Picker"))</f>
        <v/>
      </c>
    </row>
    <row r="721">
      <c r="B721">
        <f>IF($A721="","",COUNTIFS(Orders_Log!$C:$C,$A721,Orders_Log!$B:$B,"&lt;&gt;"))</f>
        <v/>
      </c>
      <c r="C721">
        <f>IF($A721="","",COUNTIFS(Orders_Log!$C:$C,$A721,Orders_Log!$M:$M,"Yes"))</f>
        <v/>
      </c>
      <c r="D721" s="5">
        <f>IF(B721=0,0,C721/B721)</f>
        <v/>
      </c>
      <c r="E721">
        <f>IF($A721="","",SUMIFS(Orders_Log!$I:$I,Orders_Log!$C:$C,$A721))</f>
        <v/>
      </c>
      <c r="F721">
        <f>IF(B721=0,0,E721/B721)</f>
        <v/>
      </c>
      <c r="G721">
        <f>IF($A721="","",IFERROR(AVERAGEIFS(Orders_Log!$H:$H,Orders_Log!$C:$C,$A721,Orders_Log!$H:$H,"&gt;0"),0))</f>
        <v/>
      </c>
      <c r="H721">
        <f>IF($A721="","",COUNTIFS(Orders_Log!$C:$C,$A721,Orders_Log!$P:$P,"Returned to Picker"))</f>
        <v/>
      </c>
    </row>
    <row r="722">
      <c r="B722">
        <f>IF($A722="","",COUNTIFS(Orders_Log!$C:$C,$A722,Orders_Log!$B:$B,"&lt;&gt;"))</f>
        <v/>
      </c>
      <c r="C722">
        <f>IF($A722="","",COUNTIFS(Orders_Log!$C:$C,$A722,Orders_Log!$M:$M,"Yes"))</f>
        <v/>
      </c>
      <c r="D722" s="5">
        <f>IF(B722=0,0,C722/B722)</f>
        <v/>
      </c>
      <c r="E722">
        <f>IF($A722="","",SUMIFS(Orders_Log!$I:$I,Orders_Log!$C:$C,$A722))</f>
        <v/>
      </c>
      <c r="F722">
        <f>IF(B722=0,0,E722/B722)</f>
        <v/>
      </c>
      <c r="G722">
        <f>IF($A722="","",IFERROR(AVERAGEIFS(Orders_Log!$H:$H,Orders_Log!$C:$C,$A722,Orders_Log!$H:$H,"&gt;0"),0))</f>
        <v/>
      </c>
      <c r="H722">
        <f>IF($A722="","",COUNTIFS(Orders_Log!$C:$C,$A722,Orders_Log!$P:$P,"Returned to Picker"))</f>
        <v/>
      </c>
    </row>
    <row r="723">
      <c r="B723">
        <f>IF($A723="","",COUNTIFS(Orders_Log!$C:$C,$A723,Orders_Log!$B:$B,"&lt;&gt;"))</f>
        <v/>
      </c>
      <c r="C723">
        <f>IF($A723="","",COUNTIFS(Orders_Log!$C:$C,$A723,Orders_Log!$M:$M,"Yes"))</f>
        <v/>
      </c>
      <c r="D723" s="5">
        <f>IF(B723=0,0,C723/B723)</f>
        <v/>
      </c>
      <c r="E723">
        <f>IF($A723="","",SUMIFS(Orders_Log!$I:$I,Orders_Log!$C:$C,$A723))</f>
        <v/>
      </c>
      <c r="F723">
        <f>IF(B723=0,0,E723/B723)</f>
        <v/>
      </c>
      <c r="G723">
        <f>IF($A723="","",IFERROR(AVERAGEIFS(Orders_Log!$H:$H,Orders_Log!$C:$C,$A723,Orders_Log!$H:$H,"&gt;0"),0))</f>
        <v/>
      </c>
      <c r="H723">
        <f>IF($A723="","",COUNTIFS(Orders_Log!$C:$C,$A723,Orders_Log!$P:$P,"Returned to Picker"))</f>
        <v/>
      </c>
    </row>
    <row r="724">
      <c r="B724">
        <f>IF($A724="","",COUNTIFS(Orders_Log!$C:$C,$A724,Orders_Log!$B:$B,"&lt;&gt;"))</f>
        <v/>
      </c>
      <c r="C724">
        <f>IF($A724="","",COUNTIFS(Orders_Log!$C:$C,$A724,Orders_Log!$M:$M,"Yes"))</f>
        <v/>
      </c>
      <c r="D724" s="5">
        <f>IF(B724=0,0,C724/B724)</f>
        <v/>
      </c>
      <c r="E724">
        <f>IF($A724="","",SUMIFS(Orders_Log!$I:$I,Orders_Log!$C:$C,$A724))</f>
        <v/>
      </c>
      <c r="F724">
        <f>IF(B724=0,0,E724/B724)</f>
        <v/>
      </c>
      <c r="G724">
        <f>IF($A724="","",IFERROR(AVERAGEIFS(Orders_Log!$H:$H,Orders_Log!$C:$C,$A724,Orders_Log!$H:$H,"&gt;0"),0))</f>
        <v/>
      </c>
      <c r="H724">
        <f>IF($A724="","",COUNTIFS(Orders_Log!$C:$C,$A724,Orders_Log!$P:$P,"Returned to Picker"))</f>
        <v/>
      </c>
    </row>
    <row r="725">
      <c r="B725">
        <f>IF($A725="","",COUNTIFS(Orders_Log!$C:$C,$A725,Orders_Log!$B:$B,"&lt;&gt;"))</f>
        <v/>
      </c>
      <c r="C725">
        <f>IF($A725="","",COUNTIFS(Orders_Log!$C:$C,$A725,Orders_Log!$M:$M,"Yes"))</f>
        <v/>
      </c>
      <c r="D725" s="5">
        <f>IF(B725=0,0,C725/B725)</f>
        <v/>
      </c>
      <c r="E725">
        <f>IF($A725="","",SUMIFS(Orders_Log!$I:$I,Orders_Log!$C:$C,$A725))</f>
        <v/>
      </c>
      <c r="F725">
        <f>IF(B725=0,0,E725/B725)</f>
        <v/>
      </c>
      <c r="G725">
        <f>IF($A725="","",IFERROR(AVERAGEIFS(Orders_Log!$H:$H,Orders_Log!$C:$C,$A725,Orders_Log!$H:$H,"&gt;0"),0))</f>
        <v/>
      </c>
      <c r="H725">
        <f>IF($A725="","",COUNTIFS(Orders_Log!$C:$C,$A725,Orders_Log!$P:$P,"Returned to Picker"))</f>
        <v/>
      </c>
    </row>
    <row r="726">
      <c r="B726">
        <f>IF($A726="","",COUNTIFS(Orders_Log!$C:$C,$A726,Orders_Log!$B:$B,"&lt;&gt;"))</f>
        <v/>
      </c>
      <c r="C726">
        <f>IF($A726="","",COUNTIFS(Orders_Log!$C:$C,$A726,Orders_Log!$M:$M,"Yes"))</f>
        <v/>
      </c>
      <c r="D726" s="5">
        <f>IF(B726=0,0,C726/B726)</f>
        <v/>
      </c>
      <c r="E726">
        <f>IF($A726="","",SUMIFS(Orders_Log!$I:$I,Orders_Log!$C:$C,$A726))</f>
        <v/>
      </c>
      <c r="F726">
        <f>IF(B726=0,0,E726/B726)</f>
        <v/>
      </c>
      <c r="G726">
        <f>IF($A726="","",IFERROR(AVERAGEIFS(Orders_Log!$H:$H,Orders_Log!$C:$C,$A726,Orders_Log!$H:$H,"&gt;0"),0))</f>
        <v/>
      </c>
      <c r="H726">
        <f>IF($A726="","",COUNTIFS(Orders_Log!$C:$C,$A726,Orders_Log!$P:$P,"Returned to Picker"))</f>
        <v/>
      </c>
    </row>
    <row r="727">
      <c r="B727">
        <f>IF($A727="","",COUNTIFS(Orders_Log!$C:$C,$A727,Orders_Log!$B:$B,"&lt;&gt;"))</f>
        <v/>
      </c>
      <c r="C727">
        <f>IF($A727="","",COUNTIFS(Orders_Log!$C:$C,$A727,Orders_Log!$M:$M,"Yes"))</f>
        <v/>
      </c>
      <c r="D727" s="5">
        <f>IF(B727=0,0,C727/B727)</f>
        <v/>
      </c>
      <c r="E727">
        <f>IF($A727="","",SUMIFS(Orders_Log!$I:$I,Orders_Log!$C:$C,$A727))</f>
        <v/>
      </c>
      <c r="F727">
        <f>IF(B727=0,0,E727/B727)</f>
        <v/>
      </c>
      <c r="G727">
        <f>IF($A727="","",IFERROR(AVERAGEIFS(Orders_Log!$H:$H,Orders_Log!$C:$C,$A727,Orders_Log!$H:$H,"&gt;0"),0))</f>
        <v/>
      </c>
      <c r="H727">
        <f>IF($A727="","",COUNTIFS(Orders_Log!$C:$C,$A727,Orders_Log!$P:$P,"Returned to Picker"))</f>
        <v/>
      </c>
    </row>
    <row r="728">
      <c r="B728">
        <f>IF($A728="","",COUNTIFS(Orders_Log!$C:$C,$A728,Orders_Log!$B:$B,"&lt;&gt;"))</f>
        <v/>
      </c>
      <c r="C728">
        <f>IF($A728="","",COUNTIFS(Orders_Log!$C:$C,$A728,Orders_Log!$M:$M,"Yes"))</f>
        <v/>
      </c>
      <c r="D728" s="5">
        <f>IF(B728=0,0,C728/B728)</f>
        <v/>
      </c>
      <c r="E728">
        <f>IF($A728="","",SUMIFS(Orders_Log!$I:$I,Orders_Log!$C:$C,$A728))</f>
        <v/>
      </c>
      <c r="F728">
        <f>IF(B728=0,0,E728/B728)</f>
        <v/>
      </c>
      <c r="G728">
        <f>IF($A728="","",IFERROR(AVERAGEIFS(Orders_Log!$H:$H,Orders_Log!$C:$C,$A728,Orders_Log!$H:$H,"&gt;0"),0))</f>
        <v/>
      </c>
      <c r="H728">
        <f>IF($A728="","",COUNTIFS(Orders_Log!$C:$C,$A728,Orders_Log!$P:$P,"Returned to Picker"))</f>
        <v/>
      </c>
    </row>
    <row r="729">
      <c r="B729">
        <f>IF($A729="","",COUNTIFS(Orders_Log!$C:$C,$A729,Orders_Log!$B:$B,"&lt;&gt;"))</f>
        <v/>
      </c>
      <c r="C729">
        <f>IF($A729="","",COUNTIFS(Orders_Log!$C:$C,$A729,Orders_Log!$M:$M,"Yes"))</f>
        <v/>
      </c>
      <c r="D729" s="5">
        <f>IF(B729=0,0,C729/B729)</f>
        <v/>
      </c>
      <c r="E729">
        <f>IF($A729="","",SUMIFS(Orders_Log!$I:$I,Orders_Log!$C:$C,$A729))</f>
        <v/>
      </c>
      <c r="F729">
        <f>IF(B729=0,0,E729/B729)</f>
        <v/>
      </c>
      <c r="G729">
        <f>IF($A729="","",IFERROR(AVERAGEIFS(Orders_Log!$H:$H,Orders_Log!$C:$C,$A729,Orders_Log!$H:$H,"&gt;0"),0))</f>
        <v/>
      </c>
      <c r="H729">
        <f>IF($A729="","",COUNTIFS(Orders_Log!$C:$C,$A729,Orders_Log!$P:$P,"Returned to Picker"))</f>
        <v/>
      </c>
    </row>
    <row r="730">
      <c r="B730">
        <f>IF($A730="","",COUNTIFS(Orders_Log!$C:$C,$A730,Orders_Log!$B:$B,"&lt;&gt;"))</f>
        <v/>
      </c>
      <c r="C730">
        <f>IF($A730="","",COUNTIFS(Orders_Log!$C:$C,$A730,Orders_Log!$M:$M,"Yes"))</f>
        <v/>
      </c>
      <c r="D730" s="5">
        <f>IF(B730=0,0,C730/B730)</f>
        <v/>
      </c>
      <c r="E730">
        <f>IF($A730="","",SUMIFS(Orders_Log!$I:$I,Orders_Log!$C:$C,$A730))</f>
        <v/>
      </c>
      <c r="F730">
        <f>IF(B730=0,0,E730/B730)</f>
        <v/>
      </c>
      <c r="G730">
        <f>IF($A730="","",IFERROR(AVERAGEIFS(Orders_Log!$H:$H,Orders_Log!$C:$C,$A730,Orders_Log!$H:$H,"&gt;0"),0))</f>
        <v/>
      </c>
      <c r="H730">
        <f>IF($A730="","",COUNTIFS(Orders_Log!$C:$C,$A730,Orders_Log!$P:$P,"Returned to Picker"))</f>
        <v/>
      </c>
    </row>
    <row r="731">
      <c r="B731">
        <f>IF($A731="","",COUNTIFS(Orders_Log!$C:$C,$A731,Orders_Log!$B:$B,"&lt;&gt;"))</f>
        <v/>
      </c>
      <c r="C731">
        <f>IF($A731="","",COUNTIFS(Orders_Log!$C:$C,$A731,Orders_Log!$M:$M,"Yes"))</f>
        <v/>
      </c>
      <c r="D731" s="5">
        <f>IF(B731=0,0,C731/B731)</f>
        <v/>
      </c>
      <c r="E731">
        <f>IF($A731="","",SUMIFS(Orders_Log!$I:$I,Orders_Log!$C:$C,$A731))</f>
        <v/>
      </c>
      <c r="F731">
        <f>IF(B731=0,0,E731/B731)</f>
        <v/>
      </c>
      <c r="G731">
        <f>IF($A731="","",IFERROR(AVERAGEIFS(Orders_Log!$H:$H,Orders_Log!$C:$C,$A731,Orders_Log!$H:$H,"&gt;0"),0))</f>
        <v/>
      </c>
      <c r="H731">
        <f>IF($A731="","",COUNTIFS(Orders_Log!$C:$C,$A731,Orders_Log!$P:$P,"Returned to Picker"))</f>
        <v/>
      </c>
    </row>
    <row r="732">
      <c r="B732">
        <f>IF($A732="","",COUNTIFS(Orders_Log!$C:$C,$A732,Orders_Log!$B:$B,"&lt;&gt;"))</f>
        <v/>
      </c>
      <c r="C732">
        <f>IF($A732="","",COUNTIFS(Orders_Log!$C:$C,$A732,Orders_Log!$M:$M,"Yes"))</f>
        <v/>
      </c>
      <c r="D732" s="5">
        <f>IF(B732=0,0,C732/B732)</f>
        <v/>
      </c>
      <c r="E732">
        <f>IF($A732="","",SUMIFS(Orders_Log!$I:$I,Orders_Log!$C:$C,$A732))</f>
        <v/>
      </c>
      <c r="F732">
        <f>IF(B732=0,0,E732/B732)</f>
        <v/>
      </c>
      <c r="G732">
        <f>IF($A732="","",IFERROR(AVERAGEIFS(Orders_Log!$H:$H,Orders_Log!$C:$C,$A732,Orders_Log!$H:$H,"&gt;0"),0))</f>
        <v/>
      </c>
      <c r="H732">
        <f>IF($A732="","",COUNTIFS(Orders_Log!$C:$C,$A732,Orders_Log!$P:$P,"Returned to Picker"))</f>
        <v/>
      </c>
    </row>
    <row r="733">
      <c r="B733">
        <f>IF($A733="","",COUNTIFS(Orders_Log!$C:$C,$A733,Orders_Log!$B:$B,"&lt;&gt;"))</f>
        <v/>
      </c>
      <c r="C733">
        <f>IF($A733="","",COUNTIFS(Orders_Log!$C:$C,$A733,Orders_Log!$M:$M,"Yes"))</f>
        <v/>
      </c>
      <c r="D733" s="5">
        <f>IF(B733=0,0,C733/B733)</f>
        <v/>
      </c>
      <c r="E733">
        <f>IF($A733="","",SUMIFS(Orders_Log!$I:$I,Orders_Log!$C:$C,$A733))</f>
        <v/>
      </c>
      <c r="F733">
        <f>IF(B733=0,0,E733/B733)</f>
        <v/>
      </c>
      <c r="G733">
        <f>IF($A733="","",IFERROR(AVERAGEIFS(Orders_Log!$H:$H,Orders_Log!$C:$C,$A733,Orders_Log!$H:$H,"&gt;0"),0))</f>
        <v/>
      </c>
      <c r="H733">
        <f>IF($A733="","",COUNTIFS(Orders_Log!$C:$C,$A733,Orders_Log!$P:$P,"Returned to Picker"))</f>
        <v/>
      </c>
    </row>
    <row r="734">
      <c r="B734">
        <f>IF($A734="","",COUNTIFS(Orders_Log!$C:$C,$A734,Orders_Log!$B:$B,"&lt;&gt;"))</f>
        <v/>
      </c>
      <c r="C734">
        <f>IF($A734="","",COUNTIFS(Orders_Log!$C:$C,$A734,Orders_Log!$M:$M,"Yes"))</f>
        <v/>
      </c>
      <c r="D734" s="5">
        <f>IF(B734=0,0,C734/B734)</f>
        <v/>
      </c>
      <c r="E734">
        <f>IF($A734="","",SUMIFS(Orders_Log!$I:$I,Orders_Log!$C:$C,$A734))</f>
        <v/>
      </c>
      <c r="F734">
        <f>IF(B734=0,0,E734/B734)</f>
        <v/>
      </c>
      <c r="G734">
        <f>IF($A734="","",IFERROR(AVERAGEIFS(Orders_Log!$H:$H,Orders_Log!$C:$C,$A734,Orders_Log!$H:$H,"&gt;0"),0))</f>
        <v/>
      </c>
      <c r="H734">
        <f>IF($A734="","",COUNTIFS(Orders_Log!$C:$C,$A734,Orders_Log!$P:$P,"Returned to Picker"))</f>
        <v/>
      </c>
    </row>
    <row r="735">
      <c r="B735">
        <f>IF($A735="","",COUNTIFS(Orders_Log!$C:$C,$A735,Orders_Log!$B:$B,"&lt;&gt;"))</f>
        <v/>
      </c>
      <c r="C735">
        <f>IF($A735="","",COUNTIFS(Orders_Log!$C:$C,$A735,Orders_Log!$M:$M,"Yes"))</f>
        <v/>
      </c>
      <c r="D735" s="5">
        <f>IF(B735=0,0,C735/B735)</f>
        <v/>
      </c>
      <c r="E735">
        <f>IF($A735="","",SUMIFS(Orders_Log!$I:$I,Orders_Log!$C:$C,$A735))</f>
        <v/>
      </c>
      <c r="F735">
        <f>IF(B735=0,0,E735/B735)</f>
        <v/>
      </c>
      <c r="G735">
        <f>IF($A735="","",IFERROR(AVERAGEIFS(Orders_Log!$H:$H,Orders_Log!$C:$C,$A735,Orders_Log!$H:$H,"&gt;0"),0))</f>
        <v/>
      </c>
      <c r="H735">
        <f>IF($A735="","",COUNTIFS(Orders_Log!$C:$C,$A735,Orders_Log!$P:$P,"Returned to Picker"))</f>
        <v/>
      </c>
    </row>
    <row r="736">
      <c r="B736">
        <f>IF($A736="","",COUNTIFS(Orders_Log!$C:$C,$A736,Orders_Log!$B:$B,"&lt;&gt;"))</f>
        <v/>
      </c>
      <c r="C736">
        <f>IF($A736="","",COUNTIFS(Orders_Log!$C:$C,$A736,Orders_Log!$M:$M,"Yes"))</f>
        <v/>
      </c>
      <c r="D736" s="5">
        <f>IF(B736=0,0,C736/B736)</f>
        <v/>
      </c>
      <c r="E736">
        <f>IF($A736="","",SUMIFS(Orders_Log!$I:$I,Orders_Log!$C:$C,$A736))</f>
        <v/>
      </c>
      <c r="F736">
        <f>IF(B736=0,0,E736/B736)</f>
        <v/>
      </c>
      <c r="G736">
        <f>IF($A736="","",IFERROR(AVERAGEIFS(Orders_Log!$H:$H,Orders_Log!$C:$C,$A736,Orders_Log!$H:$H,"&gt;0"),0))</f>
        <v/>
      </c>
      <c r="H736">
        <f>IF($A736="","",COUNTIFS(Orders_Log!$C:$C,$A736,Orders_Log!$P:$P,"Returned to Picker"))</f>
        <v/>
      </c>
    </row>
    <row r="737">
      <c r="B737">
        <f>IF($A737="","",COUNTIFS(Orders_Log!$C:$C,$A737,Orders_Log!$B:$B,"&lt;&gt;"))</f>
        <v/>
      </c>
      <c r="C737">
        <f>IF($A737="","",COUNTIFS(Orders_Log!$C:$C,$A737,Orders_Log!$M:$M,"Yes"))</f>
        <v/>
      </c>
      <c r="D737" s="5">
        <f>IF(B737=0,0,C737/B737)</f>
        <v/>
      </c>
      <c r="E737">
        <f>IF($A737="","",SUMIFS(Orders_Log!$I:$I,Orders_Log!$C:$C,$A737))</f>
        <v/>
      </c>
      <c r="F737">
        <f>IF(B737=0,0,E737/B737)</f>
        <v/>
      </c>
      <c r="G737">
        <f>IF($A737="","",IFERROR(AVERAGEIFS(Orders_Log!$H:$H,Orders_Log!$C:$C,$A737,Orders_Log!$H:$H,"&gt;0"),0))</f>
        <v/>
      </c>
      <c r="H737">
        <f>IF($A737="","",COUNTIFS(Orders_Log!$C:$C,$A737,Orders_Log!$P:$P,"Returned to Picker"))</f>
        <v/>
      </c>
    </row>
    <row r="738">
      <c r="B738">
        <f>IF($A738="","",COUNTIFS(Orders_Log!$C:$C,$A738,Orders_Log!$B:$B,"&lt;&gt;"))</f>
        <v/>
      </c>
      <c r="C738">
        <f>IF($A738="","",COUNTIFS(Orders_Log!$C:$C,$A738,Orders_Log!$M:$M,"Yes"))</f>
        <v/>
      </c>
      <c r="D738" s="5">
        <f>IF(B738=0,0,C738/B738)</f>
        <v/>
      </c>
      <c r="E738">
        <f>IF($A738="","",SUMIFS(Orders_Log!$I:$I,Orders_Log!$C:$C,$A738))</f>
        <v/>
      </c>
      <c r="F738">
        <f>IF(B738=0,0,E738/B738)</f>
        <v/>
      </c>
      <c r="G738">
        <f>IF($A738="","",IFERROR(AVERAGEIFS(Orders_Log!$H:$H,Orders_Log!$C:$C,$A738,Orders_Log!$H:$H,"&gt;0"),0))</f>
        <v/>
      </c>
      <c r="H738">
        <f>IF($A738="","",COUNTIFS(Orders_Log!$C:$C,$A738,Orders_Log!$P:$P,"Returned to Picker"))</f>
        <v/>
      </c>
    </row>
    <row r="739">
      <c r="B739">
        <f>IF($A739="","",COUNTIFS(Orders_Log!$C:$C,$A739,Orders_Log!$B:$B,"&lt;&gt;"))</f>
        <v/>
      </c>
      <c r="C739">
        <f>IF($A739="","",COUNTIFS(Orders_Log!$C:$C,$A739,Orders_Log!$M:$M,"Yes"))</f>
        <v/>
      </c>
      <c r="D739" s="5">
        <f>IF(B739=0,0,C739/B739)</f>
        <v/>
      </c>
      <c r="E739">
        <f>IF($A739="","",SUMIFS(Orders_Log!$I:$I,Orders_Log!$C:$C,$A739))</f>
        <v/>
      </c>
      <c r="F739">
        <f>IF(B739=0,0,E739/B739)</f>
        <v/>
      </c>
      <c r="G739">
        <f>IF($A739="","",IFERROR(AVERAGEIFS(Orders_Log!$H:$H,Orders_Log!$C:$C,$A739,Orders_Log!$H:$H,"&gt;0"),0))</f>
        <v/>
      </c>
      <c r="H739">
        <f>IF($A739="","",COUNTIFS(Orders_Log!$C:$C,$A739,Orders_Log!$P:$P,"Returned to Picker"))</f>
        <v/>
      </c>
    </row>
    <row r="740">
      <c r="B740">
        <f>IF($A740="","",COUNTIFS(Orders_Log!$C:$C,$A740,Orders_Log!$B:$B,"&lt;&gt;"))</f>
        <v/>
      </c>
      <c r="C740">
        <f>IF($A740="","",COUNTIFS(Orders_Log!$C:$C,$A740,Orders_Log!$M:$M,"Yes"))</f>
        <v/>
      </c>
      <c r="D740" s="5">
        <f>IF(B740=0,0,C740/B740)</f>
        <v/>
      </c>
      <c r="E740">
        <f>IF($A740="","",SUMIFS(Orders_Log!$I:$I,Orders_Log!$C:$C,$A740))</f>
        <v/>
      </c>
      <c r="F740">
        <f>IF(B740=0,0,E740/B740)</f>
        <v/>
      </c>
      <c r="G740">
        <f>IF($A740="","",IFERROR(AVERAGEIFS(Orders_Log!$H:$H,Orders_Log!$C:$C,$A740,Orders_Log!$H:$H,"&gt;0"),0))</f>
        <v/>
      </c>
      <c r="H740">
        <f>IF($A740="","",COUNTIFS(Orders_Log!$C:$C,$A740,Orders_Log!$P:$P,"Returned to Picker"))</f>
        <v/>
      </c>
    </row>
    <row r="741">
      <c r="B741">
        <f>IF($A741="","",COUNTIFS(Orders_Log!$C:$C,$A741,Orders_Log!$B:$B,"&lt;&gt;"))</f>
        <v/>
      </c>
      <c r="C741">
        <f>IF($A741="","",COUNTIFS(Orders_Log!$C:$C,$A741,Orders_Log!$M:$M,"Yes"))</f>
        <v/>
      </c>
      <c r="D741" s="5">
        <f>IF(B741=0,0,C741/B741)</f>
        <v/>
      </c>
      <c r="E741">
        <f>IF($A741="","",SUMIFS(Orders_Log!$I:$I,Orders_Log!$C:$C,$A741))</f>
        <v/>
      </c>
      <c r="F741">
        <f>IF(B741=0,0,E741/B741)</f>
        <v/>
      </c>
      <c r="G741">
        <f>IF($A741="","",IFERROR(AVERAGEIFS(Orders_Log!$H:$H,Orders_Log!$C:$C,$A741,Orders_Log!$H:$H,"&gt;0"),0))</f>
        <v/>
      </c>
      <c r="H741">
        <f>IF($A741="","",COUNTIFS(Orders_Log!$C:$C,$A741,Orders_Log!$P:$P,"Returned to Picker"))</f>
        <v/>
      </c>
    </row>
    <row r="742">
      <c r="B742">
        <f>IF($A742="","",COUNTIFS(Orders_Log!$C:$C,$A742,Orders_Log!$B:$B,"&lt;&gt;"))</f>
        <v/>
      </c>
      <c r="C742">
        <f>IF($A742="","",COUNTIFS(Orders_Log!$C:$C,$A742,Orders_Log!$M:$M,"Yes"))</f>
        <v/>
      </c>
      <c r="D742" s="5">
        <f>IF(B742=0,0,C742/B742)</f>
        <v/>
      </c>
      <c r="E742">
        <f>IF($A742="","",SUMIFS(Orders_Log!$I:$I,Orders_Log!$C:$C,$A742))</f>
        <v/>
      </c>
      <c r="F742">
        <f>IF(B742=0,0,E742/B742)</f>
        <v/>
      </c>
      <c r="G742">
        <f>IF($A742="","",IFERROR(AVERAGEIFS(Orders_Log!$H:$H,Orders_Log!$C:$C,$A742,Orders_Log!$H:$H,"&gt;0"),0))</f>
        <v/>
      </c>
      <c r="H742">
        <f>IF($A742="","",COUNTIFS(Orders_Log!$C:$C,$A742,Orders_Log!$P:$P,"Returned to Picker"))</f>
        <v/>
      </c>
    </row>
    <row r="743">
      <c r="B743">
        <f>IF($A743="","",COUNTIFS(Orders_Log!$C:$C,$A743,Orders_Log!$B:$B,"&lt;&gt;"))</f>
        <v/>
      </c>
      <c r="C743">
        <f>IF($A743="","",COUNTIFS(Orders_Log!$C:$C,$A743,Orders_Log!$M:$M,"Yes"))</f>
        <v/>
      </c>
      <c r="D743" s="5">
        <f>IF(B743=0,0,C743/B743)</f>
        <v/>
      </c>
      <c r="E743">
        <f>IF($A743="","",SUMIFS(Orders_Log!$I:$I,Orders_Log!$C:$C,$A743))</f>
        <v/>
      </c>
      <c r="F743">
        <f>IF(B743=0,0,E743/B743)</f>
        <v/>
      </c>
      <c r="G743">
        <f>IF($A743="","",IFERROR(AVERAGEIFS(Orders_Log!$H:$H,Orders_Log!$C:$C,$A743,Orders_Log!$H:$H,"&gt;0"),0))</f>
        <v/>
      </c>
      <c r="H743">
        <f>IF($A743="","",COUNTIFS(Orders_Log!$C:$C,$A743,Orders_Log!$P:$P,"Returned to Picker"))</f>
        <v/>
      </c>
    </row>
    <row r="744">
      <c r="B744">
        <f>IF($A744="","",COUNTIFS(Orders_Log!$C:$C,$A744,Orders_Log!$B:$B,"&lt;&gt;"))</f>
        <v/>
      </c>
      <c r="C744">
        <f>IF($A744="","",COUNTIFS(Orders_Log!$C:$C,$A744,Orders_Log!$M:$M,"Yes"))</f>
        <v/>
      </c>
      <c r="D744" s="5">
        <f>IF(B744=0,0,C744/B744)</f>
        <v/>
      </c>
      <c r="E744">
        <f>IF($A744="","",SUMIFS(Orders_Log!$I:$I,Orders_Log!$C:$C,$A744))</f>
        <v/>
      </c>
      <c r="F744">
        <f>IF(B744=0,0,E744/B744)</f>
        <v/>
      </c>
      <c r="G744">
        <f>IF($A744="","",IFERROR(AVERAGEIFS(Orders_Log!$H:$H,Orders_Log!$C:$C,$A744,Orders_Log!$H:$H,"&gt;0"),0))</f>
        <v/>
      </c>
      <c r="H744">
        <f>IF($A744="","",COUNTIFS(Orders_Log!$C:$C,$A744,Orders_Log!$P:$P,"Returned to Picker"))</f>
        <v/>
      </c>
    </row>
    <row r="745">
      <c r="B745">
        <f>IF($A745="","",COUNTIFS(Orders_Log!$C:$C,$A745,Orders_Log!$B:$B,"&lt;&gt;"))</f>
        <v/>
      </c>
      <c r="C745">
        <f>IF($A745="","",COUNTIFS(Orders_Log!$C:$C,$A745,Orders_Log!$M:$M,"Yes"))</f>
        <v/>
      </c>
      <c r="D745" s="5">
        <f>IF(B745=0,0,C745/B745)</f>
        <v/>
      </c>
      <c r="E745">
        <f>IF($A745="","",SUMIFS(Orders_Log!$I:$I,Orders_Log!$C:$C,$A745))</f>
        <v/>
      </c>
      <c r="F745">
        <f>IF(B745=0,0,E745/B745)</f>
        <v/>
      </c>
      <c r="G745">
        <f>IF($A745="","",IFERROR(AVERAGEIFS(Orders_Log!$H:$H,Orders_Log!$C:$C,$A745,Orders_Log!$H:$H,"&gt;0"),0))</f>
        <v/>
      </c>
      <c r="H745">
        <f>IF($A745="","",COUNTIFS(Orders_Log!$C:$C,$A745,Orders_Log!$P:$P,"Returned to Picker"))</f>
        <v/>
      </c>
    </row>
    <row r="746">
      <c r="B746">
        <f>IF($A746="","",COUNTIFS(Orders_Log!$C:$C,$A746,Orders_Log!$B:$B,"&lt;&gt;"))</f>
        <v/>
      </c>
      <c r="C746">
        <f>IF($A746="","",COUNTIFS(Orders_Log!$C:$C,$A746,Orders_Log!$M:$M,"Yes"))</f>
        <v/>
      </c>
      <c r="D746" s="5">
        <f>IF(B746=0,0,C746/B746)</f>
        <v/>
      </c>
      <c r="E746">
        <f>IF($A746="","",SUMIFS(Orders_Log!$I:$I,Orders_Log!$C:$C,$A746))</f>
        <v/>
      </c>
      <c r="F746">
        <f>IF(B746=0,0,E746/B746)</f>
        <v/>
      </c>
      <c r="G746">
        <f>IF($A746="","",IFERROR(AVERAGEIFS(Orders_Log!$H:$H,Orders_Log!$C:$C,$A746,Orders_Log!$H:$H,"&gt;0"),0))</f>
        <v/>
      </c>
      <c r="H746">
        <f>IF($A746="","",COUNTIFS(Orders_Log!$C:$C,$A746,Orders_Log!$P:$P,"Returned to Picker"))</f>
        <v/>
      </c>
    </row>
    <row r="747">
      <c r="B747">
        <f>IF($A747="","",COUNTIFS(Orders_Log!$C:$C,$A747,Orders_Log!$B:$B,"&lt;&gt;"))</f>
        <v/>
      </c>
      <c r="C747">
        <f>IF($A747="","",COUNTIFS(Orders_Log!$C:$C,$A747,Orders_Log!$M:$M,"Yes"))</f>
        <v/>
      </c>
      <c r="D747" s="5">
        <f>IF(B747=0,0,C747/B747)</f>
        <v/>
      </c>
      <c r="E747">
        <f>IF($A747="","",SUMIFS(Orders_Log!$I:$I,Orders_Log!$C:$C,$A747))</f>
        <v/>
      </c>
      <c r="F747">
        <f>IF(B747=0,0,E747/B747)</f>
        <v/>
      </c>
      <c r="G747">
        <f>IF($A747="","",IFERROR(AVERAGEIFS(Orders_Log!$H:$H,Orders_Log!$C:$C,$A747,Orders_Log!$H:$H,"&gt;0"),0))</f>
        <v/>
      </c>
      <c r="H747">
        <f>IF($A747="","",COUNTIFS(Orders_Log!$C:$C,$A747,Orders_Log!$P:$P,"Returned to Picker"))</f>
        <v/>
      </c>
    </row>
    <row r="748">
      <c r="B748">
        <f>IF($A748="","",COUNTIFS(Orders_Log!$C:$C,$A748,Orders_Log!$B:$B,"&lt;&gt;"))</f>
        <v/>
      </c>
      <c r="C748">
        <f>IF($A748="","",COUNTIFS(Orders_Log!$C:$C,$A748,Orders_Log!$M:$M,"Yes"))</f>
        <v/>
      </c>
      <c r="D748" s="5">
        <f>IF(B748=0,0,C748/B748)</f>
        <v/>
      </c>
      <c r="E748">
        <f>IF($A748="","",SUMIFS(Orders_Log!$I:$I,Orders_Log!$C:$C,$A748))</f>
        <v/>
      </c>
      <c r="F748">
        <f>IF(B748=0,0,E748/B748)</f>
        <v/>
      </c>
      <c r="G748">
        <f>IF($A748="","",IFERROR(AVERAGEIFS(Orders_Log!$H:$H,Orders_Log!$C:$C,$A748,Orders_Log!$H:$H,"&gt;0"),0))</f>
        <v/>
      </c>
      <c r="H748">
        <f>IF($A748="","",COUNTIFS(Orders_Log!$C:$C,$A748,Orders_Log!$P:$P,"Returned to Picker"))</f>
        <v/>
      </c>
    </row>
    <row r="749">
      <c r="B749">
        <f>IF($A749="","",COUNTIFS(Orders_Log!$C:$C,$A749,Orders_Log!$B:$B,"&lt;&gt;"))</f>
        <v/>
      </c>
      <c r="C749">
        <f>IF($A749="","",COUNTIFS(Orders_Log!$C:$C,$A749,Orders_Log!$M:$M,"Yes"))</f>
        <v/>
      </c>
      <c r="D749" s="5">
        <f>IF(B749=0,0,C749/B749)</f>
        <v/>
      </c>
      <c r="E749">
        <f>IF($A749="","",SUMIFS(Orders_Log!$I:$I,Orders_Log!$C:$C,$A749))</f>
        <v/>
      </c>
      <c r="F749">
        <f>IF(B749=0,0,E749/B749)</f>
        <v/>
      </c>
      <c r="G749">
        <f>IF($A749="","",IFERROR(AVERAGEIFS(Orders_Log!$H:$H,Orders_Log!$C:$C,$A749,Orders_Log!$H:$H,"&gt;0"),0))</f>
        <v/>
      </c>
      <c r="H749">
        <f>IF($A749="","",COUNTIFS(Orders_Log!$C:$C,$A749,Orders_Log!$P:$P,"Returned to Picker"))</f>
        <v/>
      </c>
    </row>
    <row r="750">
      <c r="B750">
        <f>IF($A750="","",COUNTIFS(Orders_Log!$C:$C,$A750,Orders_Log!$B:$B,"&lt;&gt;"))</f>
        <v/>
      </c>
      <c r="C750">
        <f>IF($A750="","",COUNTIFS(Orders_Log!$C:$C,$A750,Orders_Log!$M:$M,"Yes"))</f>
        <v/>
      </c>
      <c r="D750" s="5">
        <f>IF(B750=0,0,C750/B750)</f>
        <v/>
      </c>
      <c r="E750">
        <f>IF($A750="","",SUMIFS(Orders_Log!$I:$I,Orders_Log!$C:$C,$A750))</f>
        <v/>
      </c>
      <c r="F750">
        <f>IF(B750=0,0,E750/B750)</f>
        <v/>
      </c>
      <c r="G750">
        <f>IF($A750="","",IFERROR(AVERAGEIFS(Orders_Log!$H:$H,Orders_Log!$C:$C,$A750,Orders_Log!$H:$H,"&gt;0"),0))</f>
        <v/>
      </c>
      <c r="H750">
        <f>IF($A750="","",COUNTIFS(Orders_Log!$C:$C,$A750,Orders_Log!$P:$P,"Returned to Picker"))</f>
        <v/>
      </c>
    </row>
    <row r="751">
      <c r="B751">
        <f>IF($A751="","",COUNTIFS(Orders_Log!$C:$C,$A751,Orders_Log!$B:$B,"&lt;&gt;"))</f>
        <v/>
      </c>
      <c r="C751">
        <f>IF($A751="","",COUNTIFS(Orders_Log!$C:$C,$A751,Orders_Log!$M:$M,"Yes"))</f>
        <v/>
      </c>
      <c r="D751" s="5">
        <f>IF(B751=0,0,C751/B751)</f>
        <v/>
      </c>
      <c r="E751">
        <f>IF($A751="","",SUMIFS(Orders_Log!$I:$I,Orders_Log!$C:$C,$A751))</f>
        <v/>
      </c>
      <c r="F751">
        <f>IF(B751=0,0,E751/B751)</f>
        <v/>
      </c>
      <c r="G751">
        <f>IF($A751="","",IFERROR(AVERAGEIFS(Orders_Log!$H:$H,Orders_Log!$C:$C,$A751,Orders_Log!$H:$H,"&gt;0"),0))</f>
        <v/>
      </c>
      <c r="H751">
        <f>IF($A751="","",COUNTIFS(Orders_Log!$C:$C,$A751,Orders_Log!$P:$P,"Returned to Picker"))</f>
        <v/>
      </c>
    </row>
    <row r="752">
      <c r="B752">
        <f>IF($A752="","",COUNTIFS(Orders_Log!$C:$C,$A752,Orders_Log!$B:$B,"&lt;&gt;"))</f>
        <v/>
      </c>
      <c r="C752">
        <f>IF($A752="","",COUNTIFS(Orders_Log!$C:$C,$A752,Orders_Log!$M:$M,"Yes"))</f>
        <v/>
      </c>
      <c r="D752" s="5">
        <f>IF(B752=0,0,C752/B752)</f>
        <v/>
      </c>
      <c r="E752">
        <f>IF($A752="","",SUMIFS(Orders_Log!$I:$I,Orders_Log!$C:$C,$A752))</f>
        <v/>
      </c>
      <c r="F752">
        <f>IF(B752=0,0,E752/B752)</f>
        <v/>
      </c>
      <c r="G752">
        <f>IF($A752="","",IFERROR(AVERAGEIFS(Orders_Log!$H:$H,Orders_Log!$C:$C,$A752,Orders_Log!$H:$H,"&gt;0"),0))</f>
        <v/>
      </c>
      <c r="H752">
        <f>IF($A752="","",COUNTIFS(Orders_Log!$C:$C,$A752,Orders_Log!$P:$P,"Returned to Picker"))</f>
        <v/>
      </c>
    </row>
    <row r="753">
      <c r="B753">
        <f>IF($A753="","",COUNTIFS(Orders_Log!$C:$C,$A753,Orders_Log!$B:$B,"&lt;&gt;"))</f>
        <v/>
      </c>
      <c r="C753">
        <f>IF($A753="","",COUNTIFS(Orders_Log!$C:$C,$A753,Orders_Log!$M:$M,"Yes"))</f>
        <v/>
      </c>
      <c r="D753" s="5">
        <f>IF(B753=0,0,C753/B753)</f>
        <v/>
      </c>
      <c r="E753">
        <f>IF($A753="","",SUMIFS(Orders_Log!$I:$I,Orders_Log!$C:$C,$A753))</f>
        <v/>
      </c>
      <c r="F753">
        <f>IF(B753=0,0,E753/B753)</f>
        <v/>
      </c>
      <c r="G753">
        <f>IF($A753="","",IFERROR(AVERAGEIFS(Orders_Log!$H:$H,Orders_Log!$C:$C,$A753,Orders_Log!$H:$H,"&gt;0"),0))</f>
        <v/>
      </c>
      <c r="H753">
        <f>IF($A753="","",COUNTIFS(Orders_Log!$C:$C,$A753,Orders_Log!$P:$P,"Returned to Picker"))</f>
        <v/>
      </c>
    </row>
    <row r="754">
      <c r="B754">
        <f>IF($A754="","",COUNTIFS(Orders_Log!$C:$C,$A754,Orders_Log!$B:$B,"&lt;&gt;"))</f>
        <v/>
      </c>
      <c r="C754">
        <f>IF($A754="","",COUNTIFS(Orders_Log!$C:$C,$A754,Orders_Log!$M:$M,"Yes"))</f>
        <v/>
      </c>
      <c r="D754" s="5">
        <f>IF(B754=0,0,C754/B754)</f>
        <v/>
      </c>
      <c r="E754">
        <f>IF($A754="","",SUMIFS(Orders_Log!$I:$I,Orders_Log!$C:$C,$A754))</f>
        <v/>
      </c>
      <c r="F754">
        <f>IF(B754=0,0,E754/B754)</f>
        <v/>
      </c>
      <c r="G754">
        <f>IF($A754="","",IFERROR(AVERAGEIFS(Orders_Log!$H:$H,Orders_Log!$C:$C,$A754,Orders_Log!$H:$H,"&gt;0"),0))</f>
        <v/>
      </c>
      <c r="H754">
        <f>IF($A754="","",COUNTIFS(Orders_Log!$C:$C,$A754,Orders_Log!$P:$P,"Returned to Picker"))</f>
        <v/>
      </c>
    </row>
    <row r="755">
      <c r="B755">
        <f>IF($A755="","",COUNTIFS(Orders_Log!$C:$C,$A755,Orders_Log!$B:$B,"&lt;&gt;"))</f>
        <v/>
      </c>
      <c r="C755">
        <f>IF($A755="","",COUNTIFS(Orders_Log!$C:$C,$A755,Orders_Log!$M:$M,"Yes"))</f>
        <v/>
      </c>
      <c r="D755" s="5">
        <f>IF(B755=0,0,C755/B755)</f>
        <v/>
      </c>
      <c r="E755">
        <f>IF($A755="","",SUMIFS(Orders_Log!$I:$I,Orders_Log!$C:$C,$A755))</f>
        <v/>
      </c>
      <c r="F755">
        <f>IF(B755=0,0,E755/B755)</f>
        <v/>
      </c>
      <c r="G755">
        <f>IF($A755="","",IFERROR(AVERAGEIFS(Orders_Log!$H:$H,Orders_Log!$C:$C,$A755,Orders_Log!$H:$H,"&gt;0"),0))</f>
        <v/>
      </c>
      <c r="H755">
        <f>IF($A755="","",COUNTIFS(Orders_Log!$C:$C,$A755,Orders_Log!$P:$P,"Returned to Picker"))</f>
        <v/>
      </c>
    </row>
    <row r="756">
      <c r="B756">
        <f>IF($A756="","",COUNTIFS(Orders_Log!$C:$C,$A756,Orders_Log!$B:$B,"&lt;&gt;"))</f>
        <v/>
      </c>
      <c r="C756">
        <f>IF($A756="","",COUNTIFS(Orders_Log!$C:$C,$A756,Orders_Log!$M:$M,"Yes"))</f>
        <v/>
      </c>
      <c r="D756" s="5">
        <f>IF(B756=0,0,C756/B756)</f>
        <v/>
      </c>
      <c r="E756">
        <f>IF($A756="","",SUMIFS(Orders_Log!$I:$I,Orders_Log!$C:$C,$A756))</f>
        <v/>
      </c>
      <c r="F756">
        <f>IF(B756=0,0,E756/B756)</f>
        <v/>
      </c>
      <c r="G756">
        <f>IF($A756="","",IFERROR(AVERAGEIFS(Orders_Log!$H:$H,Orders_Log!$C:$C,$A756,Orders_Log!$H:$H,"&gt;0"),0))</f>
        <v/>
      </c>
      <c r="H756">
        <f>IF($A756="","",COUNTIFS(Orders_Log!$C:$C,$A756,Orders_Log!$P:$P,"Returned to Picker"))</f>
        <v/>
      </c>
    </row>
    <row r="757">
      <c r="B757">
        <f>IF($A757="","",COUNTIFS(Orders_Log!$C:$C,$A757,Orders_Log!$B:$B,"&lt;&gt;"))</f>
        <v/>
      </c>
      <c r="C757">
        <f>IF($A757="","",COUNTIFS(Orders_Log!$C:$C,$A757,Orders_Log!$M:$M,"Yes"))</f>
        <v/>
      </c>
      <c r="D757" s="5">
        <f>IF(B757=0,0,C757/B757)</f>
        <v/>
      </c>
      <c r="E757">
        <f>IF($A757="","",SUMIFS(Orders_Log!$I:$I,Orders_Log!$C:$C,$A757))</f>
        <v/>
      </c>
      <c r="F757">
        <f>IF(B757=0,0,E757/B757)</f>
        <v/>
      </c>
      <c r="G757">
        <f>IF($A757="","",IFERROR(AVERAGEIFS(Orders_Log!$H:$H,Orders_Log!$C:$C,$A757,Orders_Log!$H:$H,"&gt;0"),0))</f>
        <v/>
      </c>
      <c r="H757">
        <f>IF($A757="","",COUNTIFS(Orders_Log!$C:$C,$A757,Orders_Log!$P:$P,"Returned to Picker"))</f>
        <v/>
      </c>
    </row>
    <row r="758">
      <c r="B758">
        <f>IF($A758="","",COUNTIFS(Orders_Log!$C:$C,$A758,Orders_Log!$B:$B,"&lt;&gt;"))</f>
        <v/>
      </c>
      <c r="C758">
        <f>IF($A758="","",COUNTIFS(Orders_Log!$C:$C,$A758,Orders_Log!$M:$M,"Yes"))</f>
        <v/>
      </c>
      <c r="D758" s="5">
        <f>IF(B758=0,0,C758/B758)</f>
        <v/>
      </c>
      <c r="E758">
        <f>IF($A758="","",SUMIFS(Orders_Log!$I:$I,Orders_Log!$C:$C,$A758))</f>
        <v/>
      </c>
      <c r="F758">
        <f>IF(B758=0,0,E758/B758)</f>
        <v/>
      </c>
      <c r="G758">
        <f>IF($A758="","",IFERROR(AVERAGEIFS(Orders_Log!$H:$H,Orders_Log!$C:$C,$A758,Orders_Log!$H:$H,"&gt;0"),0))</f>
        <v/>
      </c>
      <c r="H758">
        <f>IF($A758="","",COUNTIFS(Orders_Log!$C:$C,$A758,Orders_Log!$P:$P,"Returned to Picker"))</f>
        <v/>
      </c>
    </row>
    <row r="759">
      <c r="B759">
        <f>IF($A759="","",COUNTIFS(Orders_Log!$C:$C,$A759,Orders_Log!$B:$B,"&lt;&gt;"))</f>
        <v/>
      </c>
      <c r="C759">
        <f>IF($A759="","",COUNTIFS(Orders_Log!$C:$C,$A759,Orders_Log!$M:$M,"Yes"))</f>
        <v/>
      </c>
      <c r="D759" s="5">
        <f>IF(B759=0,0,C759/B759)</f>
        <v/>
      </c>
      <c r="E759">
        <f>IF($A759="","",SUMIFS(Orders_Log!$I:$I,Orders_Log!$C:$C,$A759))</f>
        <v/>
      </c>
      <c r="F759">
        <f>IF(B759=0,0,E759/B759)</f>
        <v/>
      </c>
      <c r="G759">
        <f>IF($A759="","",IFERROR(AVERAGEIFS(Orders_Log!$H:$H,Orders_Log!$C:$C,$A759,Orders_Log!$H:$H,"&gt;0"),0))</f>
        <v/>
      </c>
      <c r="H759">
        <f>IF($A759="","",COUNTIFS(Orders_Log!$C:$C,$A759,Orders_Log!$P:$P,"Returned to Picker"))</f>
        <v/>
      </c>
    </row>
    <row r="760">
      <c r="B760">
        <f>IF($A760="","",COUNTIFS(Orders_Log!$C:$C,$A760,Orders_Log!$B:$B,"&lt;&gt;"))</f>
        <v/>
      </c>
      <c r="C760">
        <f>IF($A760="","",COUNTIFS(Orders_Log!$C:$C,$A760,Orders_Log!$M:$M,"Yes"))</f>
        <v/>
      </c>
      <c r="D760" s="5">
        <f>IF(B760=0,0,C760/B760)</f>
        <v/>
      </c>
      <c r="E760">
        <f>IF($A760="","",SUMIFS(Orders_Log!$I:$I,Orders_Log!$C:$C,$A760))</f>
        <v/>
      </c>
      <c r="F760">
        <f>IF(B760=0,0,E760/B760)</f>
        <v/>
      </c>
      <c r="G760">
        <f>IF($A760="","",IFERROR(AVERAGEIFS(Orders_Log!$H:$H,Orders_Log!$C:$C,$A760,Orders_Log!$H:$H,"&gt;0"),0))</f>
        <v/>
      </c>
      <c r="H760">
        <f>IF($A760="","",COUNTIFS(Orders_Log!$C:$C,$A760,Orders_Log!$P:$P,"Returned to Picker"))</f>
        <v/>
      </c>
    </row>
    <row r="761">
      <c r="B761">
        <f>IF($A761="","",COUNTIFS(Orders_Log!$C:$C,$A761,Orders_Log!$B:$B,"&lt;&gt;"))</f>
        <v/>
      </c>
      <c r="C761">
        <f>IF($A761="","",COUNTIFS(Orders_Log!$C:$C,$A761,Orders_Log!$M:$M,"Yes"))</f>
        <v/>
      </c>
      <c r="D761" s="5">
        <f>IF(B761=0,0,C761/B761)</f>
        <v/>
      </c>
      <c r="E761">
        <f>IF($A761="","",SUMIFS(Orders_Log!$I:$I,Orders_Log!$C:$C,$A761))</f>
        <v/>
      </c>
      <c r="F761">
        <f>IF(B761=0,0,E761/B761)</f>
        <v/>
      </c>
      <c r="G761">
        <f>IF($A761="","",IFERROR(AVERAGEIFS(Orders_Log!$H:$H,Orders_Log!$C:$C,$A761,Orders_Log!$H:$H,"&gt;0"),0))</f>
        <v/>
      </c>
      <c r="H761">
        <f>IF($A761="","",COUNTIFS(Orders_Log!$C:$C,$A761,Orders_Log!$P:$P,"Returned to Picker"))</f>
        <v/>
      </c>
    </row>
    <row r="762">
      <c r="B762">
        <f>IF($A762="","",COUNTIFS(Orders_Log!$C:$C,$A762,Orders_Log!$B:$B,"&lt;&gt;"))</f>
        <v/>
      </c>
      <c r="C762">
        <f>IF($A762="","",COUNTIFS(Orders_Log!$C:$C,$A762,Orders_Log!$M:$M,"Yes"))</f>
        <v/>
      </c>
      <c r="D762" s="5">
        <f>IF(B762=0,0,C762/B762)</f>
        <v/>
      </c>
      <c r="E762">
        <f>IF($A762="","",SUMIFS(Orders_Log!$I:$I,Orders_Log!$C:$C,$A762))</f>
        <v/>
      </c>
      <c r="F762">
        <f>IF(B762=0,0,E762/B762)</f>
        <v/>
      </c>
      <c r="G762">
        <f>IF($A762="","",IFERROR(AVERAGEIFS(Orders_Log!$H:$H,Orders_Log!$C:$C,$A762,Orders_Log!$H:$H,"&gt;0"),0))</f>
        <v/>
      </c>
      <c r="H762">
        <f>IF($A762="","",COUNTIFS(Orders_Log!$C:$C,$A762,Orders_Log!$P:$P,"Returned to Picker"))</f>
        <v/>
      </c>
    </row>
    <row r="763">
      <c r="B763">
        <f>IF($A763="","",COUNTIFS(Orders_Log!$C:$C,$A763,Orders_Log!$B:$B,"&lt;&gt;"))</f>
        <v/>
      </c>
      <c r="C763">
        <f>IF($A763="","",COUNTIFS(Orders_Log!$C:$C,$A763,Orders_Log!$M:$M,"Yes"))</f>
        <v/>
      </c>
      <c r="D763" s="5">
        <f>IF(B763=0,0,C763/B763)</f>
        <v/>
      </c>
      <c r="E763">
        <f>IF($A763="","",SUMIFS(Orders_Log!$I:$I,Orders_Log!$C:$C,$A763))</f>
        <v/>
      </c>
      <c r="F763">
        <f>IF(B763=0,0,E763/B763)</f>
        <v/>
      </c>
      <c r="G763">
        <f>IF($A763="","",IFERROR(AVERAGEIFS(Orders_Log!$H:$H,Orders_Log!$C:$C,$A763,Orders_Log!$H:$H,"&gt;0"),0))</f>
        <v/>
      </c>
      <c r="H763">
        <f>IF($A763="","",COUNTIFS(Orders_Log!$C:$C,$A763,Orders_Log!$P:$P,"Returned to Picker"))</f>
        <v/>
      </c>
    </row>
    <row r="764">
      <c r="B764">
        <f>IF($A764="","",COUNTIFS(Orders_Log!$C:$C,$A764,Orders_Log!$B:$B,"&lt;&gt;"))</f>
        <v/>
      </c>
      <c r="C764">
        <f>IF($A764="","",COUNTIFS(Orders_Log!$C:$C,$A764,Orders_Log!$M:$M,"Yes"))</f>
        <v/>
      </c>
      <c r="D764" s="5">
        <f>IF(B764=0,0,C764/B764)</f>
        <v/>
      </c>
      <c r="E764">
        <f>IF($A764="","",SUMIFS(Orders_Log!$I:$I,Orders_Log!$C:$C,$A764))</f>
        <v/>
      </c>
      <c r="F764">
        <f>IF(B764=0,0,E764/B764)</f>
        <v/>
      </c>
      <c r="G764">
        <f>IF($A764="","",IFERROR(AVERAGEIFS(Orders_Log!$H:$H,Orders_Log!$C:$C,$A764,Orders_Log!$H:$H,"&gt;0"),0))</f>
        <v/>
      </c>
      <c r="H764">
        <f>IF($A764="","",COUNTIFS(Orders_Log!$C:$C,$A764,Orders_Log!$P:$P,"Returned to Picker"))</f>
        <v/>
      </c>
    </row>
    <row r="765">
      <c r="B765">
        <f>IF($A765="","",COUNTIFS(Orders_Log!$C:$C,$A765,Orders_Log!$B:$B,"&lt;&gt;"))</f>
        <v/>
      </c>
      <c r="C765">
        <f>IF($A765="","",COUNTIFS(Orders_Log!$C:$C,$A765,Orders_Log!$M:$M,"Yes"))</f>
        <v/>
      </c>
      <c r="D765" s="5">
        <f>IF(B765=0,0,C765/B765)</f>
        <v/>
      </c>
      <c r="E765">
        <f>IF($A765="","",SUMIFS(Orders_Log!$I:$I,Orders_Log!$C:$C,$A765))</f>
        <v/>
      </c>
      <c r="F765">
        <f>IF(B765=0,0,E765/B765)</f>
        <v/>
      </c>
      <c r="G765">
        <f>IF($A765="","",IFERROR(AVERAGEIFS(Orders_Log!$H:$H,Orders_Log!$C:$C,$A765,Orders_Log!$H:$H,"&gt;0"),0))</f>
        <v/>
      </c>
      <c r="H765">
        <f>IF($A765="","",COUNTIFS(Orders_Log!$C:$C,$A765,Orders_Log!$P:$P,"Returned to Picker"))</f>
        <v/>
      </c>
    </row>
    <row r="766">
      <c r="B766">
        <f>IF($A766="","",COUNTIFS(Orders_Log!$C:$C,$A766,Orders_Log!$B:$B,"&lt;&gt;"))</f>
        <v/>
      </c>
      <c r="C766">
        <f>IF($A766="","",COUNTIFS(Orders_Log!$C:$C,$A766,Orders_Log!$M:$M,"Yes"))</f>
        <v/>
      </c>
      <c r="D766" s="5">
        <f>IF(B766=0,0,C766/B766)</f>
        <v/>
      </c>
      <c r="E766">
        <f>IF($A766="","",SUMIFS(Orders_Log!$I:$I,Orders_Log!$C:$C,$A766))</f>
        <v/>
      </c>
      <c r="F766">
        <f>IF(B766=0,0,E766/B766)</f>
        <v/>
      </c>
      <c r="G766">
        <f>IF($A766="","",IFERROR(AVERAGEIFS(Orders_Log!$H:$H,Orders_Log!$C:$C,$A766,Orders_Log!$H:$H,"&gt;0"),0))</f>
        <v/>
      </c>
      <c r="H766">
        <f>IF($A766="","",COUNTIFS(Orders_Log!$C:$C,$A766,Orders_Log!$P:$P,"Returned to Picker"))</f>
        <v/>
      </c>
    </row>
    <row r="767">
      <c r="B767">
        <f>IF($A767="","",COUNTIFS(Orders_Log!$C:$C,$A767,Orders_Log!$B:$B,"&lt;&gt;"))</f>
        <v/>
      </c>
      <c r="C767">
        <f>IF($A767="","",COUNTIFS(Orders_Log!$C:$C,$A767,Orders_Log!$M:$M,"Yes"))</f>
        <v/>
      </c>
      <c r="D767" s="5">
        <f>IF(B767=0,0,C767/B767)</f>
        <v/>
      </c>
      <c r="E767">
        <f>IF($A767="","",SUMIFS(Orders_Log!$I:$I,Orders_Log!$C:$C,$A767))</f>
        <v/>
      </c>
      <c r="F767">
        <f>IF(B767=0,0,E767/B767)</f>
        <v/>
      </c>
      <c r="G767">
        <f>IF($A767="","",IFERROR(AVERAGEIFS(Orders_Log!$H:$H,Orders_Log!$C:$C,$A767,Orders_Log!$H:$H,"&gt;0"),0))</f>
        <v/>
      </c>
      <c r="H767">
        <f>IF($A767="","",COUNTIFS(Orders_Log!$C:$C,$A767,Orders_Log!$P:$P,"Returned to Picker"))</f>
        <v/>
      </c>
    </row>
    <row r="768">
      <c r="B768">
        <f>IF($A768="","",COUNTIFS(Orders_Log!$C:$C,$A768,Orders_Log!$B:$B,"&lt;&gt;"))</f>
        <v/>
      </c>
      <c r="C768">
        <f>IF($A768="","",COUNTIFS(Orders_Log!$C:$C,$A768,Orders_Log!$M:$M,"Yes"))</f>
        <v/>
      </c>
      <c r="D768" s="5">
        <f>IF(B768=0,0,C768/B768)</f>
        <v/>
      </c>
      <c r="E768">
        <f>IF($A768="","",SUMIFS(Orders_Log!$I:$I,Orders_Log!$C:$C,$A768))</f>
        <v/>
      </c>
      <c r="F768">
        <f>IF(B768=0,0,E768/B768)</f>
        <v/>
      </c>
      <c r="G768">
        <f>IF($A768="","",IFERROR(AVERAGEIFS(Orders_Log!$H:$H,Orders_Log!$C:$C,$A768,Orders_Log!$H:$H,"&gt;0"),0))</f>
        <v/>
      </c>
      <c r="H768">
        <f>IF($A768="","",COUNTIFS(Orders_Log!$C:$C,$A768,Orders_Log!$P:$P,"Returned to Picker"))</f>
        <v/>
      </c>
    </row>
    <row r="769">
      <c r="B769">
        <f>IF($A769="","",COUNTIFS(Orders_Log!$C:$C,$A769,Orders_Log!$B:$B,"&lt;&gt;"))</f>
        <v/>
      </c>
      <c r="C769">
        <f>IF($A769="","",COUNTIFS(Orders_Log!$C:$C,$A769,Orders_Log!$M:$M,"Yes"))</f>
        <v/>
      </c>
      <c r="D769" s="5">
        <f>IF(B769=0,0,C769/B769)</f>
        <v/>
      </c>
      <c r="E769">
        <f>IF($A769="","",SUMIFS(Orders_Log!$I:$I,Orders_Log!$C:$C,$A769))</f>
        <v/>
      </c>
      <c r="F769">
        <f>IF(B769=0,0,E769/B769)</f>
        <v/>
      </c>
      <c r="G769">
        <f>IF($A769="","",IFERROR(AVERAGEIFS(Orders_Log!$H:$H,Orders_Log!$C:$C,$A769,Orders_Log!$H:$H,"&gt;0"),0))</f>
        <v/>
      </c>
      <c r="H769">
        <f>IF($A769="","",COUNTIFS(Orders_Log!$C:$C,$A769,Orders_Log!$P:$P,"Returned to Picker"))</f>
        <v/>
      </c>
    </row>
    <row r="770">
      <c r="B770">
        <f>IF($A770="","",COUNTIFS(Orders_Log!$C:$C,$A770,Orders_Log!$B:$B,"&lt;&gt;"))</f>
        <v/>
      </c>
      <c r="C770">
        <f>IF($A770="","",COUNTIFS(Orders_Log!$C:$C,$A770,Orders_Log!$M:$M,"Yes"))</f>
        <v/>
      </c>
      <c r="D770" s="5">
        <f>IF(B770=0,0,C770/B770)</f>
        <v/>
      </c>
      <c r="E770">
        <f>IF($A770="","",SUMIFS(Orders_Log!$I:$I,Orders_Log!$C:$C,$A770))</f>
        <v/>
      </c>
      <c r="F770">
        <f>IF(B770=0,0,E770/B770)</f>
        <v/>
      </c>
      <c r="G770">
        <f>IF($A770="","",IFERROR(AVERAGEIFS(Orders_Log!$H:$H,Orders_Log!$C:$C,$A770,Orders_Log!$H:$H,"&gt;0"),0))</f>
        <v/>
      </c>
      <c r="H770">
        <f>IF($A770="","",COUNTIFS(Orders_Log!$C:$C,$A770,Orders_Log!$P:$P,"Returned to Picker"))</f>
        <v/>
      </c>
    </row>
    <row r="771">
      <c r="B771">
        <f>IF($A771="","",COUNTIFS(Orders_Log!$C:$C,$A771,Orders_Log!$B:$B,"&lt;&gt;"))</f>
        <v/>
      </c>
      <c r="C771">
        <f>IF($A771="","",COUNTIFS(Orders_Log!$C:$C,$A771,Orders_Log!$M:$M,"Yes"))</f>
        <v/>
      </c>
      <c r="D771" s="5">
        <f>IF(B771=0,0,C771/B771)</f>
        <v/>
      </c>
      <c r="E771">
        <f>IF($A771="","",SUMIFS(Orders_Log!$I:$I,Orders_Log!$C:$C,$A771))</f>
        <v/>
      </c>
      <c r="F771">
        <f>IF(B771=0,0,E771/B771)</f>
        <v/>
      </c>
      <c r="G771">
        <f>IF($A771="","",IFERROR(AVERAGEIFS(Orders_Log!$H:$H,Orders_Log!$C:$C,$A771,Orders_Log!$H:$H,"&gt;0"),0))</f>
        <v/>
      </c>
      <c r="H771">
        <f>IF($A771="","",COUNTIFS(Orders_Log!$C:$C,$A771,Orders_Log!$P:$P,"Returned to Picker"))</f>
        <v/>
      </c>
    </row>
    <row r="772">
      <c r="B772">
        <f>IF($A772="","",COUNTIFS(Orders_Log!$C:$C,$A772,Orders_Log!$B:$B,"&lt;&gt;"))</f>
        <v/>
      </c>
      <c r="C772">
        <f>IF($A772="","",COUNTIFS(Orders_Log!$C:$C,$A772,Orders_Log!$M:$M,"Yes"))</f>
        <v/>
      </c>
      <c r="D772" s="5">
        <f>IF(B772=0,0,C772/B772)</f>
        <v/>
      </c>
      <c r="E772">
        <f>IF($A772="","",SUMIFS(Orders_Log!$I:$I,Orders_Log!$C:$C,$A772))</f>
        <v/>
      </c>
      <c r="F772">
        <f>IF(B772=0,0,E772/B772)</f>
        <v/>
      </c>
      <c r="G772">
        <f>IF($A772="","",IFERROR(AVERAGEIFS(Orders_Log!$H:$H,Orders_Log!$C:$C,$A772,Orders_Log!$H:$H,"&gt;0"),0))</f>
        <v/>
      </c>
      <c r="H772">
        <f>IF($A772="","",COUNTIFS(Orders_Log!$C:$C,$A772,Orders_Log!$P:$P,"Returned to Picker"))</f>
        <v/>
      </c>
    </row>
    <row r="773">
      <c r="B773">
        <f>IF($A773="","",COUNTIFS(Orders_Log!$C:$C,$A773,Orders_Log!$B:$B,"&lt;&gt;"))</f>
        <v/>
      </c>
      <c r="C773">
        <f>IF($A773="","",COUNTIFS(Orders_Log!$C:$C,$A773,Orders_Log!$M:$M,"Yes"))</f>
        <v/>
      </c>
      <c r="D773" s="5">
        <f>IF(B773=0,0,C773/B773)</f>
        <v/>
      </c>
      <c r="E773">
        <f>IF($A773="","",SUMIFS(Orders_Log!$I:$I,Orders_Log!$C:$C,$A773))</f>
        <v/>
      </c>
      <c r="F773">
        <f>IF(B773=0,0,E773/B773)</f>
        <v/>
      </c>
      <c r="G773">
        <f>IF($A773="","",IFERROR(AVERAGEIFS(Orders_Log!$H:$H,Orders_Log!$C:$C,$A773,Orders_Log!$H:$H,"&gt;0"),0))</f>
        <v/>
      </c>
      <c r="H773">
        <f>IF($A773="","",COUNTIFS(Orders_Log!$C:$C,$A773,Orders_Log!$P:$P,"Returned to Picker"))</f>
        <v/>
      </c>
    </row>
    <row r="774">
      <c r="B774">
        <f>IF($A774="","",COUNTIFS(Orders_Log!$C:$C,$A774,Orders_Log!$B:$B,"&lt;&gt;"))</f>
        <v/>
      </c>
      <c r="C774">
        <f>IF($A774="","",COUNTIFS(Orders_Log!$C:$C,$A774,Orders_Log!$M:$M,"Yes"))</f>
        <v/>
      </c>
      <c r="D774" s="5">
        <f>IF(B774=0,0,C774/B774)</f>
        <v/>
      </c>
      <c r="E774">
        <f>IF($A774="","",SUMIFS(Orders_Log!$I:$I,Orders_Log!$C:$C,$A774))</f>
        <v/>
      </c>
      <c r="F774">
        <f>IF(B774=0,0,E774/B774)</f>
        <v/>
      </c>
      <c r="G774">
        <f>IF($A774="","",IFERROR(AVERAGEIFS(Orders_Log!$H:$H,Orders_Log!$C:$C,$A774,Orders_Log!$H:$H,"&gt;0"),0))</f>
        <v/>
      </c>
      <c r="H774">
        <f>IF($A774="","",COUNTIFS(Orders_Log!$C:$C,$A774,Orders_Log!$P:$P,"Returned to Picker"))</f>
        <v/>
      </c>
    </row>
    <row r="775">
      <c r="B775">
        <f>IF($A775="","",COUNTIFS(Orders_Log!$C:$C,$A775,Orders_Log!$B:$B,"&lt;&gt;"))</f>
        <v/>
      </c>
      <c r="C775">
        <f>IF($A775="","",COUNTIFS(Orders_Log!$C:$C,$A775,Orders_Log!$M:$M,"Yes"))</f>
        <v/>
      </c>
      <c r="D775" s="5">
        <f>IF(B775=0,0,C775/B775)</f>
        <v/>
      </c>
      <c r="E775">
        <f>IF($A775="","",SUMIFS(Orders_Log!$I:$I,Orders_Log!$C:$C,$A775))</f>
        <v/>
      </c>
      <c r="F775">
        <f>IF(B775=0,0,E775/B775)</f>
        <v/>
      </c>
      <c r="G775">
        <f>IF($A775="","",IFERROR(AVERAGEIFS(Orders_Log!$H:$H,Orders_Log!$C:$C,$A775,Orders_Log!$H:$H,"&gt;0"),0))</f>
        <v/>
      </c>
      <c r="H775">
        <f>IF($A775="","",COUNTIFS(Orders_Log!$C:$C,$A775,Orders_Log!$P:$P,"Returned to Picker"))</f>
        <v/>
      </c>
    </row>
    <row r="776">
      <c r="B776">
        <f>IF($A776="","",COUNTIFS(Orders_Log!$C:$C,$A776,Orders_Log!$B:$B,"&lt;&gt;"))</f>
        <v/>
      </c>
      <c r="C776">
        <f>IF($A776="","",COUNTIFS(Orders_Log!$C:$C,$A776,Orders_Log!$M:$M,"Yes"))</f>
        <v/>
      </c>
      <c r="D776" s="5">
        <f>IF(B776=0,0,C776/B776)</f>
        <v/>
      </c>
      <c r="E776">
        <f>IF($A776="","",SUMIFS(Orders_Log!$I:$I,Orders_Log!$C:$C,$A776))</f>
        <v/>
      </c>
      <c r="F776">
        <f>IF(B776=0,0,E776/B776)</f>
        <v/>
      </c>
      <c r="G776">
        <f>IF($A776="","",IFERROR(AVERAGEIFS(Orders_Log!$H:$H,Orders_Log!$C:$C,$A776,Orders_Log!$H:$H,"&gt;0"),0))</f>
        <v/>
      </c>
      <c r="H776">
        <f>IF($A776="","",COUNTIFS(Orders_Log!$C:$C,$A776,Orders_Log!$P:$P,"Returned to Picker"))</f>
        <v/>
      </c>
    </row>
    <row r="777">
      <c r="B777">
        <f>IF($A777="","",COUNTIFS(Orders_Log!$C:$C,$A777,Orders_Log!$B:$B,"&lt;&gt;"))</f>
        <v/>
      </c>
      <c r="C777">
        <f>IF($A777="","",COUNTIFS(Orders_Log!$C:$C,$A777,Orders_Log!$M:$M,"Yes"))</f>
        <v/>
      </c>
      <c r="D777" s="5">
        <f>IF(B777=0,0,C777/B777)</f>
        <v/>
      </c>
      <c r="E777">
        <f>IF($A777="","",SUMIFS(Orders_Log!$I:$I,Orders_Log!$C:$C,$A777))</f>
        <v/>
      </c>
      <c r="F777">
        <f>IF(B777=0,0,E777/B777)</f>
        <v/>
      </c>
      <c r="G777">
        <f>IF($A777="","",IFERROR(AVERAGEIFS(Orders_Log!$H:$H,Orders_Log!$C:$C,$A777,Orders_Log!$H:$H,"&gt;0"),0))</f>
        <v/>
      </c>
      <c r="H777">
        <f>IF($A777="","",COUNTIFS(Orders_Log!$C:$C,$A777,Orders_Log!$P:$P,"Returned to Picker"))</f>
        <v/>
      </c>
    </row>
    <row r="778">
      <c r="B778">
        <f>IF($A778="","",COUNTIFS(Orders_Log!$C:$C,$A778,Orders_Log!$B:$B,"&lt;&gt;"))</f>
        <v/>
      </c>
      <c r="C778">
        <f>IF($A778="","",COUNTIFS(Orders_Log!$C:$C,$A778,Orders_Log!$M:$M,"Yes"))</f>
        <v/>
      </c>
      <c r="D778" s="5">
        <f>IF(B778=0,0,C778/B778)</f>
        <v/>
      </c>
      <c r="E778">
        <f>IF($A778="","",SUMIFS(Orders_Log!$I:$I,Orders_Log!$C:$C,$A778))</f>
        <v/>
      </c>
      <c r="F778">
        <f>IF(B778=0,0,E778/B778)</f>
        <v/>
      </c>
      <c r="G778">
        <f>IF($A778="","",IFERROR(AVERAGEIFS(Orders_Log!$H:$H,Orders_Log!$C:$C,$A778,Orders_Log!$H:$H,"&gt;0"),0))</f>
        <v/>
      </c>
      <c r="H778">
        <f>IF($A778="","",COUNTIFS(Orders_Log!$C:$C,$A778,Orders_Log!$P:$P,"Returned to Picker"))</f>
        <v/>
      </c>
    </row>
    <row r="779">
      <c r="B779">
        <f>IF($A779="","",COUNTIFS(Orders_Log!$C:$C,$A779,Orders_Log!$B:$B,"&lt;&gt;"))</f>
        <v/>
      </c>
      <c r="C779">
        <f>IF($A779="","",COUNTIFS(Orders_Log!$C:$C,$A779,Orders_Log!$M:$M,"Yes"))</f>
        <v/>
      </c>
      <c r="D779" s="5">
        <f>IF(B779=0,0,C779/B779)</f>
        <v/>
      </c>
      <c r="E779">
        <f>IF($A779="","",SUMIFS(Orders_Log!$I:$I,Orders_Log!$C:$C,$A779))</f>
        <v/>
      </c>
      <c r="F779">
        <f>IF(B779=0,0,E779/B779)</f>
        <v/>
      </c>
      <c r="G779">
        <f>IF($A779="","",IFERROR(AVERAGEIFS(Orders_Log!$H:$H,Orders_Log!$C:$C,$A779,Orders_Log!$H:$H,"&gt;0"),0))</f>
        <v/>
      </c>
      <c r="H779">
        <f>IF($A779="","",COUNTIFS(Orders_Log!$C:$C,$A779,Orders_Log!$P:$P,"Returned to Picker"))</f>
        <v/>
      </c>
    </row>
    <row r="780">
      <c r="B780">
        <f>IF($A780="","",COUNTIFS(Orders_Log!$C:$C,$A780,Orders_Log!$B:$B,"&lt;&gt;"))</f>
        <v/>
      </c>
      <c r="C780">
        <f>IF($A780="","",COUNTIFS(Orders_Log!$C:$C,$A780,Orders_Log!$M:$M,"Yes"))</f>
        <v/>
      </c>
      <c r="D780" s="5">
        <f>IF(B780=0,0,C780/B780)</f>
        <v/>
      </c>
      <c r="E780">
        <f>IF($A780="","",SUMIFS(Orders_Log!$I:$I,Orders_Log!$C:$C,$A780))</f>
        <v/>
      </c>
      <c r="F780">
        <f>IF(B780=0,0,E780/B780)</f>
        <v/>
      </c>
      <c r="G780">
        <f>IF($A780="","",IFERROR(AVERAGEIFS(Orders_Log!$H:$H,Orders_Log!$C:$C,$A780,Orders_Log!$H:$H,"&gt;0"),0))</f>
        <v/>
      </c>
      <c r="H780">
        <f>IF($A780="","",COUNTIFS(Orders_Log!$C:$C,$A780,Orders_Log!$P:$P,"Returned to Picker"))</f>
        <v/>
      </c>
    </row>
    <row r="781">
      <c r="B781">
        <f>IF($A781="","",COUNTIFS(Orders_Log!$C:$C,$A781,Orders_Log!$B:$B,"&lt;&gt;"))</f>
        <v/>
      </c>
      <c r="C781">
        <f>IF($A781="","",COUNTIFS(Orders_Log!$C:$C,$A781,Orders_Log!$M:$M,"Yes"))</f>
        <v/>
      </c>
      <c r="D781" s="5">
        <f>IF(B781=0,0,C781/B781)</f>
        <v/>
      </c>
      <c r="E781">
        <f>IF($A781="","",SUMIFS(Orders_Log!$I:$I,Orders_Log!$C:$C,$A781))</f>
        <v/>
      </c>
      <c r="F781">
        <f>IF(B781=0,0,E781/B781)</f>
        <v/>
      </c>
      <c r="G781">
        <f>IF($A781="","",IFERROR(AVERAGEIFS(Orders_Log!$H:$H,Orders_Log!$C:$C,$A781,Orders_Log!$H:$H,"&gt;0"),0))</f>
        <v/>
      </c>
      <c r="H781">
        <f>IF($A781="","",COUNTIFS(Orders_Log!$C:$C,$A781,Orders_Log!$P:$P,"Returned to Picker"))</f>
        <v/>
      </c>
    </row>
    <row r="782">
      <c r="B782">
        <f>IF($A782="","",COUNTIFS(Orders_Log!$C:$C,$A782,Orders_Log!$B:$B,"&lt;&gt;"))</f>
        <v/>
      </c>
      <c r="C782">
        <f>IF($A782="","",COUNTIFS(Orders_Log!$C:$C,$A782,Orders_Log!$M:$M,"Yes"))</f>
        <v/>
      </c>
      <c r="D782" s="5">
        <f>IF(B782=0,0,C782/B782)</f>
        <v/>
      </c>
      <c r="E782">
        <f>IF($A782="","",SUMIFS(Orders_Log!$I:$I,Orders_Log!$C:$C,$A782))</f>
        <v/>
      </c>
      <c r="F782">
        <f>IF(B782=0,0,E782/B782)</f>
        <v/>
      </c>
      <c r="G782">
        <f>IF($A782="","",IFERROR(AVERAGEIFS(Orders_Log!$H:$H,Orders_Log!$C:$C,$A782,Orders_Log!$H:$H,"&gt;0"),0))</f>
        <v/>
      </c>
      <c r="H782">
        <f>IF($A782="","",COUNTIFS(Orders_Log!$C:$C,$A782,Orders_Log!$P:$P,"Returned to Picker"))</f>
        <v/>
      </c>
    </row>
    <row r="783">
      <c r="B783">
        <f>IF($A783="","",COUNTIFS(Orders_Log!$C:$C,$A783,Orders_Log!$B:$B,"&lt;&gt;"))</f>
        <v/>
      </c>
      <c r="C783">
        <f>IF($A783="","",COUNTIFS(Orders_Log!$C:$C,$A783,Orders_Log!$M:$M,"Yes"))</f>
        <v/>
      </c>
      <c r="D783" s="5">
        <f>IF(B783=0,0,C783/B783)</f>
        <v/>
      </c>
      <c r="E783">
        <f>IF($A783="","",SUMIFS(Orders_Log!$I:$I,Orders_Log!$C:$C,$A783))</f>
        <v/>
      </c>
      <c r="F783">
        <f>IF(B783=0,0,E783/B783)</f>
        <v/>
      </c>
      <c r="G783">
        <f>IF($A783="","",IFERROR(AVERAGEIFS(Orders_Log!$H:$H,Orders_Log!$C:$C,$A783,Orders_Log!$H:$H,"&gt;0"),0))</f>
        <v/>
      </c>
      <c r="H783">
        <f>IF($A783="","",COUNTIFS(Orders_Log!$C:$C,$A783,Orders_Log!$P:$P,"Returned to Picker"))</f>
        <v/>
      </c>
    </row>
    <row r="784">
      <c r="B784">
        <f>IF($A784="","",COUNTIFS(Orders_Log!$C:$C,$A784,Orders_Log!$B:$B,"&lt;&gt;"))</f>
        <v/>
      </c>
      <c r="C784">
        <f>IF($A784="","",COUNTIFS(Orders_Log!$C:$C,$A784,Orders_Log!$M:$M,"Yes"))</f>
        <v/>
      </c>
      <c r="D784" s="5">
        <f>IF(B784=0,0,C784/B784)</f>
        <v/>
      </c>
      <c r="E784">
        <f>IF($A784="","",SUMIFS(Orders_Log!$I:$I,Orders_Log!$C:$C,$A784))</f>
        <v/>
      </c>
      <c r="F784">
        <f>IF(B784=0,0,E784/B784)</f>
        <v/>
      </c>
      <c r="G784">
        <f>IF($A784="","",IFERROR(AVERAGEIFS(Orders_Log!$H:$H,Orders_Log!$C:$C,$A784,Orders_Log!$H:$H,"&gt;0"),0))</f>
        <v/>
      </c>
      <c r="H784">
        <f>IF($A784="","",COUNTIFS(Orders_Log!$C:$C,$A784,Orders_Log!$P:$P,"Returned to Picker"))</f>
        <v/>
      </c>
    </row>
    <row r="785">
      <c r="B785">
        <f>IF($A785="","",COUNTIFS(Orders_Log!$C:$C,$A785,Orders_Log!$B:$B,"&lt;&gt;"))</f>
        <v/>
      </c>
      <c r="C785">
        <f>IF($A785="","",COUNTIFS(Orders_Log!$C:$C,$A785,Orders_Log!$M:$M,"Yes"))</f>
        <v/>
      </c>
      <c r="D785" s="5">
        <f>IF(B785=0,0,C785/B785)</f>
        <v/>
      </c>
      <c r="E785">
        <f>IF($A785="","",SUMIFS(Orders_Log!$I:$I,Orders_Log!$C:$C,$A785))</f>
        <v/>
      </c>
      <c r="F785">
        <f>IF(B785=0,0,E785/B785)</f>
        <v/>
      </c>
      <c r="G785">
        <f>IF($A785="","",IFERROR(AVERAGEIFS(Orders_Log!$H:$H,Orders_Log!$C:$C,$A785,Orders_Log!$H:$H,"&gt;0"),0))</f>
        <v/>
      </c>
      <c r="H785">
        <f>IF($A785="","",COUNTIFS(Orders_Log!$C:$C,$A785,Orders_Log!$P:$P,"Returned to Picker"))</f>
        <v/>
      </c>
    </row>
    <row r="786">
      <c r="B786">
        <f>IF($A786="","",COUNTIFS(Orders_Log!$C:$C,$A786,Orders_Log!$B:$B,"&lt;&gt;"))</f>
        <v/>
      </c>
      <c r="C786">
        <f>IF($A786="","",COUNTIFS(Orders_Log!$C:$C,$A786,Orders_Log!$M:$M,"Yes"))</f>
        <v/>
      </c>
      <c r="D786" s="5">
        <f>IF(B786=0,0,C786/B786)</f>
        <v/>
      </c>
      <c r="E786">
        <f>IF($A786="","",SUMIFS(Orders_Log!$I:$I,Orders_Log!$C:$C,$A786))</f>
        <v/>
      </c>
      <c r="F786">
        <f>IF(B786=0,0,E786/B786)</f>
        <v/>
      </c>
      <c r="G786">
        <f>IF($A786="","",IFERROR(AVERAGEIFS(Orders_Log!$H:$H,Orders_Log!$C:$C,$A786,Orders_Log!$H:$H,"&gt;0"),0))</f>
        <v/>
      </c>
      <c r="H786">
        <f>IF($A786="","",COUNTIFS(Orders_Log!$C:$C,$A786,Orders_Log!$P:$P,"Returned to Picker"))</f>
        <v/>
      </c>
    </row>
    <row r="787">
      <c r="B787">
        <f>IF($A787="","",COUNTIFS(Orders_Log!$C:$C,$A787,Orders_Log!$B:$B,"&lt;&gt;"))</f>
        <v/>
      </c>
      <c r="C787">
        <f>IF($A787="","",COUNTIFS(Orders_Log!$C:$C,$A787,Orders_Log!$M:$M,"Yes"))</f>
        <v/>
      </c>
      <c r="D787" s="5">
        <f>IF(B787=0,0,C787/B787)</f>
        <v/>
      </c>
      <c r="E787">
        <f>IF($A787="","",SUMIFS(Orders_Log!$I:$I,Orders_Log!$C:$C,$A787))</f>
        <v/>
      </c>
      <c r="F787">
        <f>IF(B787=0,0,E787/B787)</f>
        <v/>
      </c>
      <c r="G787">
        <f>IF($A787="","",IFERROR(AVERAGEIFS(Orders_Log!$H:$H,Orders_Log!$C:$C,$A787,Orders_Log!$H:$H,"&gt;0"),0))</f>
        <v/>
      </c>
      <c r="H787">
        <f>IF($A787="","",COUNTIFS(Orders_Log!$C:$C,$A787,Orders_Log!$P:$P,"Returned to Picker"))</f>
        <v/>
      </c>
    </row>
    <row r="788">
      <c r="B788">
        <f>IF($A788="","",COUNTIFS(Orders_Log!$C:$C,$A788,Orders_Log!$B:$B,"&lt;&gt;"))</f>
        <v/>
      </c>
      <c r="C788">
        <f>IF($A788="","",COUNTIFS(Orders_Log!$C:$C,$A788,Orders_Log!$M:$M,"Yes"))</f>
        <v/>
      </c>
      <c r="D788" s="5">
        <f>IF(B788=0,0,C788/B788)</f>
        <v/>
      </c>
      <c r="E788">
        <f>IF($A788="","",SUMIFS(Orders_Log!$I:$I,Orders_Log!$C:$C,$A788))</f>
        <v/>
      </c>
      <c r="F788">
        <f>IF(B788=0,0,E788/B788)</f>
        <v/>
      </c>
      <c r="G788">
        <f>IF($A788="","",IFERROR(AVERAGEIFS(Orders_Log!$H:$H,Orders_Log!$C:$C,$A788,Orders_Log!$H:$H,"&gt;0"),0))</f>
        <v/>
      </c>
      <c r="H788">
        <f>IF($A788="","",COUNTIFS(Orders_Log!$C:$C,$A788,Orders_Log!$P:$P,"Returned to Picker"))</f>
        <v/>
      </c>
    </row>
    <row r="789">
      <c r="B789">
        <f>IF($A789="","",COUNTIFS(Orders_Log!$C:$C,$A789,Orders_Log!$B:$B,"&lt;&gt;"))</f>
        <v/>
      </c>
      <c r="C789">
        <f>IF($A789="","",COUNTIFS(Orders_Log!$C:$C,$A789,Orders_Log!$M:$M,"Yes"))</f>
        <v/>
      </c>
      <c r="D789" s="5">
        <f>IF(B789=0,0,C789/B789)</f>
        <v/>
      </c>
      <c r="E789">
        <f>IF($A789="","",SUMIFS(Orders_Log!$I:$I,Orders_Log!$C:$C,$A789))</f>
        <v/>
      </c>
      <c r="F789">
        <f>IF(B789=0,0,E789/B789)</f>
        <v/>
      </c>
      <c r="G789">
        <f>IF($A789="","",IFERROR(AVERAGEIFS(Orders_Log!$H:$H,Orders_Log!$C:$C,$A789,Orders_Log!$H:$H,"&gt;0"),0))</f>
        <v/>
      </c>
      <c r="H789">
        <f>IF($A789="","",COUNTIFS(Orders_Log!$C:$C,$A789,Orders_Log!$P:$P,"Returned to Picker"))</f>
        <v/>
      </c>
    </row>
    <row r="790">
      <c r="B790">
        <f>IF($A790="","",COUNTIFS(Orders_Log!$C:$C,$A790,Orders_Log!$B:$B,"&lt;&gt;"))</f>
        <v/>
      </c>
      <c r="C790">
        <f>IF($A790="","",COUNTIFS(Orders_Log!$C:$C,$A790,Orders_Log!$M:$M,"Yes"))</f>
        <v/>
      </c>
      <c r="D790" s="5">
        <f>IF(B790=0,0,C790/B790)</f>
        <v/>
      </c>
      <c r="E790">
        <f>IF($A790="","",SUMIFS(Orders_Log!$I:$I,Orders_Log!$C:$C,$A790))</f>
        <v/>
      </c>
      <c r="F790">
        <f>IF(B790=0,0,E790/B790)</f>
        <v/>
      </c>
      <c r="G790">
        <f>IF($A790="","",IFERROR(AVERAGEIFS(Orders_Log!$H:$H,Orders_Log!$C:$C,$A790,Orders_Log!$H:$H,"&gt;0"),0))</f>
        <v/>
      </c>
      <c r="H790">
        <f>IF($A790="","",COUNTIFS(Orders_Log!$C:$C,$A790,Orders_Log!$P:$P,"Returned to Picker"))</f>
        <v/>
      </c>
    </row>
    <row r="791">
      <c r="B791">
        <f>IF($A791="","",COUNTIFS(Orders_Log!$C:$C,$A791,Orders_Log!$B:$B,"&lt;&gt;"))</f>
        <v/>
      </c>
      <c r="C791">
        <f>IF($A791="","",COUNTIFS(Orders_Log!$C:$C,$A791,Orders_Log!$M:$M,"Yes"))</f>
        <v/>
      </c>
      <c r="D791" s="5">
        <f>IF(B791=0,0,C791/B791)</f>
        <v/>
      </c>
      <c r="E791">
        <f>IF($A791="","",SUMIFS(Orders_Log!$I:$I,Orders_Log!$C:$C,$A791))</f>
        <v/>
      </c>
      <c r="F791">
        <f>IF(B791=0,0,E791/B791)</f>
        <v/>
      </c>
      <c r="G791">
        <f>IF($A791="","",IFERROR(AVERAGEIFS(Orders_Log!$H:$H,Orders_Log!$C:$C,$A791,Orders_Log!$H:$H,"&gt;0"),0))</f>
        <v/>
      </c>
      <c r="H791">
        <f>IF($A791="","",COUNTIFS(Orders_Log!$C:$C,$A791,Orders_Log!$P:$P,"Returned to Picker"))</f>
        <v/>
      </c>
    </row>
    <row r="792">
      <c r="B792">
        <f>IF($A792="","",COUNTIFS(Orders_Log!$C:$C,$A792,Orders_Log!$B:$B,"&lt;&gt;"))</f>
        <v/>
      </c>
      <c r="C792">
        <f>IF($A792="","",COUNTIFS(Orders_Log!$C:$C,$A792,Orders_Log!$M:$M,"Yes"))</f>
        <v/>
      </c>
      <c r="D792" s="5">
        <f>IF(B792=0,0,C792/B792)</f>
        <v/>
      </c>
      <c r="E792">
        <f>IF($A792="","",SUMIFS(Orders_Log!$I:$I,Orders_Log!$C:$C,$A792))</f>
        <v/>
      </c>
      <c r="F792">
        <f>IF(B792=0,0,E792/B792)</f>
        <v/>
      </c>
      <c r="G792">
        <f>IF($A792="","",IFERROR(AVERAGEIFS(Orders_Log!$H:$H,Orders_Log!$C:$C,$A792,Orders_Log!$H:$H,"&gt;0"),0))</f>
        <v/>
      </c>
      <c r="H792">
        <f>IF($A792="","",COUNTIFS(Orders_Log!$C:$C,$A792,Orders_Log!$P:$P,"Returned to Picker"))</f>
        <v/>
      </c>
    </row>
    <row r="793">
      <c r="B793">
        <f>IF($A793="","",COUNTIFS(Orders_Log!$C:$C,$A793,Orders_Log!$B:$B,"&lt;&gt;"))</f>
        <v/>
      </c>
      <c r="C793">
        <f>IF($A793="","",COUNTIFS(Orders_Log!$C:$C,$A793,Orders_Log!$M:$M,"Yes"))</f>
        <v/>
      </c>
      <c r="D793" s="5">
        <f>IF(B793=0,0,C793/B793)</f>
        <v/>
      </c>
      <c r="E793">
        <f>IF($A793="","",SUMIFS(Orders_Log!$I:$I,Orders_Log!$C:$C,$A793))</f>
        <v/>
      </c>
      <c r="F793">
        <f>IF(B793=0,0,E793/B793)</f>
        <v/>
      </c>
      <c r="G793">
        <f>IF($A793="","",IFERROR(AVERAGEIFS(Orders_Log!$H:$H,Orders_Log!$C:$C,$A793,Orders_Log!$H:$H,"&gt;0"),0))</f>
        <v/>
      </c>
      <c r="H793">
        <f>IF($A793="","",COUNTIFS(Orders_Log!$C:$C,$A793,Orders_Log!$P:$P,"Returned to Picker"))</f>
        <v/>
      </c>
    </row>
    <row r="794">
      <c r="B794">
        <f>IF($A794="","",COUNTIFS(Orders_Log!$C:$C,$A794,Orders_Log!$B:$B,"&lt;&gt;"))</f>
        <v/>
      </c>
      <c r="C794">
        <f>IF($A794="","",COUNTIFS(Orders_Log!$C:$C,$A794,Orders_Log!$M:$M,"Yes"))</f>
        <v/>
      </c>
      <c r="D794" s="5">
        <f>IF(B794=0,0,C794/B794)</f>
        <v/>
      </c>
      <c r="E794">
        <f>IF($A794="","",SUMIFS(Orders_Log!$I:$I,Orders_Log!$C:$C,$A794))</f>
        <v/>
      </c>
      <c r="F794">
        <f>IF(B794=0,0,E794/B794)</f>
        <v/>
      </c>
      <c r="G794">
        <f>IF($A794="","",IFERROR(AVERAGEIFS(Orders_Log!$H:$H,Orders_Log!$C:$C,$A794,Orders_Log!$H:$H,"&gt;0"),0))</f>
        <v/>
      </c>
      <c r="H794">
        <f>IF($A794="","",COUNTIFS(Orders_Log!$C:$C,$A794,Orders_Log!$P:$P,"Returned to Picker"))</f>
        <v/>
      </c>
    </row>
    <row r="795">
      <c r="B795">
        <f>IF($A795="","",COUNTIFS(Orders_Log!$C:$C,$A795,Orders_Log!$B:$B,"&lt;&gt;"))</f>
        <v/>
      </c>
      <c r="C795">
        <f>IF($A795="","",COUNTIFS(Orders_Log!$C:$C,$A795,Orders_Log!$M:$M,"Yes"))</f>
        <v/>
      </c>
      <c r="D795" s="5">
        <f>IF(B795=0,0,C795/B795)</f>
        <v/>
      </c>
      <c r="E795">
        <f>IF($A795="","",SUMIFS(Orders_Log!$I:$I,Orders_Log!$C:$C,$A795))</f>
        <v/>
      </c>
      <c r="F795">
        <f>IF(B795=0,0,E795/B795)</f>
        <v/>
      </c>
      <c r="G795">
        <f>IF($A795="","",IFERROR(AVERAGEIFS(Orders_Log!$H:$H,Orders_Log!$C:$C,$A795,Orders_Log!$H:$H,"&gt;0"),0))</f>
        <v/>
      </c>
      <c r="H795">
        <f>IF($A795="","",COUNTIFS(Orders_Log!$C:$C,$A795,Orders_Log!$P:$P,"Returned to Picker"))</f>
        <v/>
      </c>
    </row>
    <row r="796">
      <c r="B796">
        <f>IF($A796="","",COUNTIFS(Orders_Log!$C:$C,$A796,Orders_Log!$B:$B,"&lt;&gt;"))</f>
        <v/>
      </c>
      <c r="C796">
        <f>IF($A796="","",COUNTIFS(Orders_Log!$C:$C,$A796,Orders_Log!$M:$M,"Yes"))</f>
        <v/>
      </c>
      <c r="D796" s="5">
        <f>IF(B796=0,0,C796/B796)</f>
        <v/>
      </c>
      <c r="E796">
        <f>IF($A796="","",SUMIFS(Orders_Log!$I:$I,Orders_Log!$C:$C,$A796))</f>
        <v/>
      </c>
      <c r="F796">
        <f>IF(B796=0,0,E796/B796)</f>
        <v/>
      </c>
      <c r="G796">
        <f>IF($A796="","",IFERROR(AVERAGEIFS(Orders_Log!$H:$H,Orders_Log!$C:$C,$A796,Orders_Log!$H:$H,"&gt;0"),0))</f>
        <v/>
      </c>
      <c r="H796">
        <f>IF($A796="","",COUNTIFS(Orders_Log!$C:$C,$A796,Orders_Log!$P:$P,"Returned to Picker"))</f>
        <v/>
      </c>
    </row>
    <row r="797">
      <c r="B797">
        <f>IF($A797="","",COUNTIFS(Orders_Log!$C:$C,$A797,Orders_Log!$B:$B,"&lt;&gt;"))</f>
        <v/>
      </c>
      <c r="C797">
        <f>IF($A797="","",COUNTIFS(Orders_Log!$C:$C,$A797,Orders_Log!$M:$M,"Yes"))</f>
        <v/>
      </c>
      <c r="D797" s="5">
        <f>IF(B797=0,0,C797/B797)</f>
        <v/>
      </c>
      <c r="E797">
        <f>IF($A797="","",SUMIFS(Orders_Log!$I:$I,Orders_Log!$C:$C,$A797))</f>
        <v/>
      </c>
      <c r="F797">
        <f>IF(B797=0,0,E797/B797)</f>
        <v/>
      </c>
      <c r="G797">
        <f>IF($A797="","",IFERROR(AVERAGEIFS(Orders_Log!$H:$H,Orders_Log!$C:$C,$A797,Orders_Log!$H:$H,"&gt;0"),0))</f>
        <v/>
      </c>
      <c r="H797">
        <f>IF($A797="","",COUNTIFS(Orders_Log!$C:$C,$A797,Orders_Log!$P:$P,"Returned to Picker"))</f>
        <v/>
      </c>
    </row>
    <row r="798">
      <c r="B798">
        <f>IF($A798="","",COUNTIFS(Orders_Log!$C:$C,$A798,Orders_Log!$B:$B,"&lt;&gt;"))</f>
        <v/>
      </c>
      <c r="C798">
        <f>IF($A798="","",COUNTIFS(Orders_Log!$C:$C,$A798,Orders_Log!$M:$M,"Yes"))</f>
        <v/>
      </c>
      <c r="D798" s="5">
        <f>IF(B798=0,0,C798/B798)</f>
        <v/>
      </c>
      <c r="E798">
        <f>IF($A798="","",SUMIFS(Orders_Log!$I:$I,Orders_Log!$C:$C,$A798))</f>
        <v/>
      </c>
      <c r="F798">
        <f>IF(B798=0,0,E798/B798)</f>
        <v/>
      </c>
      <c r="G798">
        <f>IF($A798="","",IFERROR(AVERAGEIFS(Orders_Log!$H:$H,Orders_Log!$C:$C,$A798,Orders_Log!$H:$H,"&gt;0"),0))</f>
        <v/>
      </c>
      <c r="H798">
        <f>IF($A798="","",COUNTIFS(Orders_Log!$C:$C,$A798,Orders_Log!$P:$P,"Returned to Picker"))</f>
        <v/>
      </c>
    </row>
    <row r="799">
      <c r="B799">
        <f>IF($A799="","",COUNTIFS(Orders_Log!$C:$C,$A799,Orders_Log!$B:$B,"&lt;&gt;"))</f>
        <v/>
      </c>
      <c r="C799">
        <f>IF($A799="","",COUNTIFS(Orders_Log!$C:$C,$A799,Orders_Log!$M:$M,"Yes"))</f>
        <v/>
      </c>
      <c r="D799" s="5">
        <f>IF(B799=0,0,C799/B799)</f>
        <v/>
      </c>
      <c r="E799">
        <f>IF($A799="","",SUMIFS(Orders_Log!$I:$I,Orders_Log!$C:$C,$A799))</f>
        <v/>
      </c>
      <c r="F799">
        <f>IF(B799=0,0,E799/B799)</f>
        <v/>
      </c>
      <c r="G799">
        <f>IF($A799="","",IFERROR(AVERAGEIFS(Orders_Log!$H:$H,Orders_Log!$C:$C,$A799,Orders_Log!$H:$H,"&gt;0"),0))</f>
        <v/>
      </c>
      <c r="H799">
        <f>IF($A799="","",COUNTIFS(Orders_Log!$C:$C,$A799,Orders_Log!$P:$P,"Returned to Picker"))</f>
        <v/>
      </c>
    </row>
    <row r="800">
      <c r="B800">
        <f>IF($A800="","",COUNTIFS(Orders_Log!$C:$C,$A800,Orders_Log!$B:$B,"&lt;&gt;"))</f>
        <v/>
      </c>
      <c r="C800">
        <f>IF($A800="","",COUNTIFS(Orders_Log!$C:$C,$A800,Orders_Log!$M:$M,"Yes"))</f>
        <v/>
      </c>
      <c r="D800" s="5">
        <f>IF(B800=0,0,C800/B800)</f>
        <v/>
      </c>
      <c r="E800">
        <f>IF($A800="","",SUMIFS(Orders_Log!$I:$I,Orders_Log!$C:$C,$A800))</f>
        <v/>
      </c>
      <c r="F800">
        <f>IF(B800=0,0,E800/B800)</f>
        <v/>
      </c>
      <c r="G800">
        <f>IF($A800="","",IFERROR(AVERAGEIFS(Orders_Log!$H:$H,Orders_Log!$C:$C,$A800,Orders_Log!$H:$H,"&gt;0"),0))</f>
        <v/>
      </c>
      <c r="H800">
        <f>IF($A800="","",COUNTIFS(Orders_Log!$C:$C,$A800,Orders_Log!$P:$P,"Returned to Picker"))</f>
        <v/>
      </c>
    </row>
    <row r="801">
      <c r="B801">
        <f>IF($A801="","",COUNTIFS(Orders_Log!$C:$C,$A801,Orders_Log!$B:$B,"&lt;&gt;"))</f>
        <v/>
      </c>
      <c r="C801">
        <f>IF($A801="","",COUNTIFS(Orders_Log!$C:$C,$A801,Orders_Log!$M:$M,"Yes"))</f>
        <v/>
      </c>
      <c r="D801" s="5">
        <f>IF(B801=0,0,C801/B801)</f>
        <v/>
      </c>
      <c r="E801">
        <f>IF($A801="","",SUMIFS(Orders_Log!$I:$I,Orders_Log!$C:$C,$A801))</f>
        <v/>
      </c>
      <c r="F801">
        <f>IF(B801=0,0,E801/B801)</f>
        <v/>
      </c>
      <c r="G801">
        <f>IF($A801="","",IFERROR(AVERAGEIFS(Orders_Log!$H:$H,Orders_Log!$C:$C,$A801,Orders_Log!$H:$H,"&gt;0"),0))</f>
        <v/>
      </c>
      <c r="H801">
        <f>IF($A801="","",COUNTIFS(Orders_Log!$C:$C,$A801,Orders_Log!$P:$P,"Returned to Picker"))</f>
        <v/>
      </c>
    </row>
    <row r="802">
      <c r="B802">
        <f>IF($A802="","",COUNTIFS(Orders_Log!$C:$C,$A802,Orders_Log!$B:$B,"&lt;&gt;"))</f>
        <v/>
      </c>
      <c r="C802">
        <f>IF($A802="","",COUNTIFS(Orders_Log!$C:$C,$A802,Orders_Log!$M:$M,"Yes"))</f>
        <v/>
      </c>
      <c r="D802" s="5">
        <f>IF(B802=0,0,C802/B802)</f>
        <v/>
      </c>
      <c r="E802">
        <f>IF($A802="","",SUMIFS(Orders_Log!$I:$I,Orders_Log!$C:$C,$A802))</f>
        <v/>
      </c>
      <c r="F802">
        <f>IF(B802=0,0,E802/B802)</f>
        <v/>
      </c>
      <c r="G802">
        <f>IF($A802="","",IFERROR(AVERAGEIFS(Orders_Log!$H:$H,Orders_Log!$C:$C,$A802,Orders_Log!$H:$H,"&gt;0"),0))</f>
        <v/>
      </c>
      <c r="H802">
        <f>IF($A802="","",COUNTIFS(Orders_Log!$C:$C,$A802,Orders_Log!$P:$P,"Returned to Picker"))</f>
        <v/>
      </c>
    </row>
    <row r="803">
      <c r="B803">
        <f>IF($A803="","",COUNTIFS(Orders_Log!$C:$C,$A803,Orders_Log!$B:$B,"&lt;&gt;"))</f>
        <v/>
      </c>
      <c r="C803">
        <f>IF($A803="","",COUNTIFS(Orders_Log!$C:$C,$A803,Orders_Log!$M:$M,"Yes"))</f>
        <v/>
      </c>
      <c r="D803" s="5">
        <f>IF(B803=0,0,C803/B803)</f>
        <v/>
      </c>
      <c r="E803">
        <f>IF($A803="","",SUMIFS(Orders_Log!$I:$I,Orders_Log!$C:$C,$A803))</f>
        <v/>
      </c>
      <c r="F803">
        <f>IF(B803=0,0,E803/B803)</f>
        <v/>
      </c>
      <c r="G803">
        <f>IF($A803="","",IFERROR(AVERAGEIFS(Orders_Log!$H:$H,Orders_Log!$C:$C,$A803,Orders_Log!$H:$H,"&gt;0"),0))</f>
        <v/>
      </c>
      <c r="H803">
        <f>IF($A803="","",COUNTIFS(Orders_Log!$C:$C,$A803,Orders_Log!$P:$P,"Returned to Picker"))</f>
        <v/>
      </c>
    </row>
    <row r="804">
      <c r="B804">
        <f>IF($A804="","",COUNTIFS(Orders_Log!$C:$C,$A804,Orders_Log!$B:$B,"&lt;&gt;"))</f>
        <v/>
      </c>
      <c r="C804">
        <f>IF($A804="","",COUNTIFS(Orders_Log!$C:$C,$A804,Orders_Log!$M:$M,"Yes"))</f>
        <v/>
      </c>
      <c r="D804" s="5">
        <f>IF(B804=0,0,C804/B804)</f>
        <v/>
      </c>
      <c r="E804">
        <f>IF($A804="","",SUMIFS(Orders_Log!$I:$I,Orders_Log!$C:$C,$A804))</f>
        <v/>
      </c>
      <c r="F804">
        <f>IF(B804=0,0,E804/B804)</f>
        <v/>
      </c>
      <c r="G804">
        <f>IF($A804="","",IFERROR(AVERAGEIFS(Orders_Log!$H:$H,Orders_Log!$C:$C,$A804,Orders_Log!$H:$H,"&gt;0"),0))</f>
        <v/>
      </c>
      <c r="H804">
        <f>IF($A804="","",COUNTIFS(Orders_Log!$C:$C,$A804,Orders_Log!$P:$P,"Returned to Picker"))</f>
        <v/>
      </c>
    </row>
    <row r="805">
      <c r="B805">
        <f>IF($A805="","",COUNTIFS(Orders_Log!$C:$C,$A805,Orders_Log!$B:$B,"&lt;&gt;"))</f>
        <v/>
      </c>
      <c r="C805">
        <f>IF($A805="","",COUNTIFS(Orders_Log!$C:$C,$A805,Orders_Log!$M:$M,"Yes"))</f>
        <v/>
      </c>
      <c r="D805" s="5">
        <f>IF(B805=0,0,C805/B805)</f>
        <v/>
      </c>
      <c r="E805">
        <f>IF($A805="","",SUMIFS(Orders_Log!$I:$I,Orders_Log!$C:$C,$A805))</f>
        <v/>
      </c>
      <c r="F805">
        <f>IF(B805=0,0,E805/B805)</f>
        <v/>
      </c>
      <c r="G805">
        <f>IF($A805="","",IFERROR(AVERAGEIFS(Orders_Log!$H:$H,Orders_Log!$C:$C,$A805,Orders_Log!$H:$H,"&gt;0"),0))</f>
        <v/>
      </c>
      <c r="H805">
        <f>IF($A805="","",COUNTIFS(Orders_Log!$C:$C,$A805,Orders_Log!$P:$P,"Returned to Picker"))</f>
        <v/>
      </c>
    </row>
    <row r="806">
      <c r="B806">
        <f>IF($A806="","",COUNTIFS(Orders_Log!$C:$C,$A806,Orders_Log!$B:$B,"&lt;&gt;"))</f>
        <v/>
      </c>
      <c r="C806">
        <f>IF($A806="","",COUNTIFS(Orders_Log!$C:$C,$A806,Orders_Log!$M:$M,"Yes"))</f>
        <v/>
      </c>
      <c r="D806" s="5">
        <f>IF(B806=0,0,C806/B806)</f>
        <v/>
      </c>
      <c r="E806">
        <f>IF($A806="","",SUMIFS(Orders_Log!$I:$I,Orders_Log!$C:$C,$A806))</f>
        <v/>
      </c>
      <c r="F806">
        <f>IF(B806=0,0,E806/B806)</f>
        <v/>
      </c>
      <c r="G806">
        <f>IF($A806="","",IFERROR(AVERAGEIFS(Orders_Log!$H:$H,Orders_Log!$C:$C,$A806,Orders_Log!$H:$H,"&gt;0"),0))</f>
        <v/>
      </c>
      <c r="H806">
        <f>IF($A806="","",COUNTIFS(Orders_Log!$C:$C,$A806,Orders_Log!$P:$P,"Returned to Picker"))</f>
        <v/>
      </c>
    </row>
    <row r="807">
      <c r="B807">
        <f>IF($A807="","",COUNTIFS(Orders_Log!$C:$C,$A807,Orders_Log!$B:$B,"&lt;&gt;"))</f>
        <v/>
      </c>
      <c r="C807">
        <f>IF($A807="","",COUNTIFS(Orders_Log!$C:$C,$A807,Orders_Log!$M:$M,"Yes"))</f>
        <v/>
      </c>
      <c r="D807" s="5">
        <f>IF(B807=0,0,C807/B807)</f>
        <v/>
      </c>
      <c r="E807">
        <f>IF($A807="","",SUMIFS(Orders_Log!$I:$I,Orders_Log!$C:$C,$A807))</f>
        <v/>
      </c>
      <c r="F807">
        <f>IF(B807=0,0,E807/B807)</f>
        <v/>
      </c>
      <c r="G807">
        <f>IF($A807="","",IFERROR(AVERAGEIFS(Orders_Log!$H:$H,Orders_Log!$C:$C,$A807,Orders_Log!$H:$H,"&gt;0"),0))</f>
        <v/>
      </c>
      <c r="H807">
        <f>IF($A807="","",COUNTIFS(Orders_Log!$C:$C,$A807,Orders_Log!$P:$P,"Returned to Picker"))</f>
        <v/>
      </c>
    </row>
    <row r="808">
      <c r="B808">
        <f>IF($A808="","",COUNTIFS(Orders_Log!$C:$C,$A808,Orders_Log!$B:$B,"&lt;&gt;"))</f>
        <v/>
      </c>
      <c r="C808">
        <f>IF($A808="","",COUNTIFS(Orders_Log!$C:$C,$A808,Orders_Log!$M:$M,"Yes"))</f>
        <v/>
      </c>
      <c r="D808" s="5">
        <f>IF(B808=0,0,C808/B808)</f>
        <v/>
      </c>
      <c r="E808">
        <f>IF($A808="","",SUMIFS(Orders_Log!$I:$I,Orders_Log!$C:$C,$A808))</f>
        <v/>
      </c>
      <c r="F808">
        <f>IF(B808=0,0,E808/B808)</f>
        <v/>
      </c>
      <c r="G808">
        <f>IF($A808="","",IFERROR(AVERAGEIFS(Orders_Log!$H:$H,Orders_Log!$C:$C,$A808,Orders_Log!$H:$H,"&gt;0"),0))</f>
        <v/>
      </c>
      <c r="H808">
        <f>IF($A808="","",COUNTIFS(Orders_Log!$C:$C,$A808,Orders_Log!$P:$P,"Returned to Picker"))</f>
        <v/>
      </c>
    </row>
    <row r="809">
      <c r="B809">
        <f>IF($A809="","",COUNTIFS(Orders_Log!$C:$C,$A809,Orders_Log!$B:$B,"&lt;&gt;"))</f>
        <v/>
      </c>
      <c r="C809">
        <f>IF($A809="","",COUNTIFS(Orders_Log!$C:$C,$A809,Orders_Log!$M:$M,"Yes"))</f>
        <v/>
      </c>
      <c r="D809" s="5">
        <f>IF(B809=0,0,C809/B809)</f>
        <v/>
      </c>
      <c r="E809">
        <f>IF($A809="","",SUMIFS(Orders_Log!$I:$I,Orders_Log!$C:$C,$A809))</f>
        <v/>
      </c>
      <c r="F809">
        <f>IF(B809=0,0,E809/B809)</f>
        <v/>
      </c>
      <c r="G809">
        <f>IF($A809="","",IFERROR(AVERAGEIFS(Orders_Log!$H:$H,Orders_Log!$C:$C,$A809,Orders_Log!$H:$H,"&gt;0"),0))</f>
        <v/>
      </c>
      <c r="H809">
        <f>IF($A809="","",COUNTIFS(Orders_Log!$C:$C,$A809,Orders_Log!$P:$P,"Returned to Picker"))</f>
        <v/>
      </c>
    </row>
    <row r="810">
      <c r="B810">
        <f>IF($A810="","",COUNTIFS(Orders_Log!$C:$C,$A810,Orders_Log!$B:$B,"&lt;&gt;"))</f>
        <v/>
      </c>
      <c r="C810">
        <f>IF($A810="","",COUNTIFS(Orders_Log!$C:$C,$A810,Orders_Log!$M:$M,"Yes"))</f>
        <v/>
      </c>
      <c r="D810" s="5">
        <f>IF(B810=0,0,C810/B810)</f>
        <v/>
      </c>
      <c r="E810">
        <f>IF($A810="","",SUMIFS(Orders_Log!$I:$I,Orders_Log!$C:$C,$A810))</f>
        <v/>
      </c>
      <c r="F810">
        <f>IF(B810=0,0,E810/B810)</f>
        <v/>
      </c>
      <c r="G810">
        <f>IF($A810="","",IFERROR(AVERAGEIFS(Orders_Log!$H:$H,Orders_Log!$C:$C,$A810,Orders_Log!$H:$H,"&gt;0"),0))</f>
        <v/>
      </c>
      <c r="H810">
        <f>IF($A810="","",COUNTIFS(Orders_Log!$C:$C,$A810,Orders_Log!$P:$P,"Returned to Picker"))</f>
        <v/>
      </c>
    </row>
    <row r="811">
      <c r="B811">
        <f>IF($A811="","",COUNTIFS(Orders_Log!$C:$C,$A811,Orders_Log!$B:$B,"&lt;&gt;"))</f>
        <v/>
      </c>
      <c r="C811">
        <f>IF($A811="","",COUNTIFS(Orders_Log!$C:$C,$A811,Orders_Log!$M:$M,"Yes"))</f>
        <v/>
      </c>
      <c r="D811" s="5">
        <f>IF(B811=0,0,C811/B811)</f>
        <v/>
      </c>
      <c r="E811">
        <f>IF($A811="","",SUMIFS(Orders_Log!$I:$I,Orders_Log!$C:$C,$A811))</f>
        <v/>
      </c>
      <c r="F811">
        <f>IF(B811=0,0,E811/B811)</f>
        <v/>
      </c>
      <c r="G811">
        <f>IF($A811="","",IFERROR(AVERAGEIFS(Orders_Log!$H:$H,Orders_Log!$C:$C,$A811,Orders_Log!$H:$H,"&gt;0"),0))</f>
        <v/>
      </c>
      <c r="H811">
        <f>IF($A811="","",COUNTIFS(Orders_Log!$C:$C,$A811,Orders_Log!$P:$P,"Returned to Picker"))</f>
        <v/>
      </c>
    </row>
    <row r="812">
      <c r="B812">
        <f>IF($A812="","",COUNTIFS(Orders_Log!$C:$C,$A812,Orders_Log!$B:$B,"&lt;&gt;"))</f>
        <v/>
      </c>
      <c r="C812">
        <f>IF($A812="","",COUNTIFS(Orders_Log!$C:$C,$A812,Orders_Log!$M:$M,"Yes"))</f>
        <v/>
      </c>
      <c r="D812" s="5">
        <f>IF(B812=0,0,C812/B812)</f>
        <v/>
      </c>
      <c r="E812">
        <f>IF($A812="","",SUMIFS(Orders_Log!$I:$I,Orders_Log!$C:$C,$A812))</f>
        <v/>
      </c>
      <c r="F812">
        <f>IF(B812=0,0,E812/B812)</f>
        <v/>
      </c>
      <c r="G812">
        <f>IF($A812="","",IFERROR(AVERAGEIFS(Orders_Log!$H:$H,Orders_Log!$C:$C,$A812,Orders_Log!$H:$H,"&gt;0"),0))</f>
        <v/>
      </c>
      <c r="H812">
        <f>IF($A812="","",COUNTIFS(Orders_Log!$C:$C,$A812,Orders_Log!$P:$P,"Returned to Picker"))</f>
        <v/>
      </c>
    </row>
    <row r="813">
      <c r="B813">
        <f>IF($A813="","",COUNTIFS(Orders_Log!$C:$C,$A813,Orders_Log!$B:$B,"&lt;&gt;"))</f>
        <v/>
      </c>
      <c r="C813">
        <f>IF($A813="","",COUNTIFS(Orders_Log!$C:$C,$A813,Orders_Log!$M:$M,"Yes"))</f>
        <v/>
      </c>
      <c r="D813" s="5">
        <f>IF(B813=0,0,C813/B813)</f>
        <v/>
      </c>
      <c r="E813">
        <f>IF($A813="","",SUMIFS(Orders_Log!$I:$I,Orders_Log!$C:$C,$A813))</f>
        <v/>
      </c>
      <c r="F813">
        <f>IF(B813=0,0,E813/B813)</f>
        <v/>
      </c>
      <c r="G813">
        <f>IF($A813="","",IFERROR(AVERAGEIFS(Orders_Log!$H:$H,Orders_Log!$C:$C,$A813,Orders_Log!$H:$H,"&gt;0"),0))</f>
        <v/>
      </c>
      <c r="H813">
        <f>IF($A813="","",COUNTIFS(Orders_Log!$C:$C,$A813,Orders_Log!$P:$P,"Returned to Picker"))</f>
        <v/>
      </c>
    </row>
    <row r="814">
      <c r="B814">
        <f>IF($A814="","",COUNTIFS(Orders_Log!$C:$C,$A814,Orders_Log!$B:$B,"&lt;&gt;"))</f>
        <v/>
      </c>
      <c r="C814">
        <f>IF($A814="","",COUNTIFS(Orders_Log!$C:$C,$A814,Orders_Log!$M:$M,"Yes"))</f>
        <v/>
      </c>
      <c r="D814" s="5">
        <f>IF(B814=0,0,C814/B814)</f>
        <v/>
      </c>
      <c r="E814">
        <f>IF($A814="","",SUMIFS(Orders_Log!$I:$I,Orders_Log!$C:$C,$A814))</f>
        <v/>
      </c>
      <c r="F814">
        <f>IF(B814=0,0,E814/B814)</f>
        <v/>
      </c>
      <c r="G814">
        <f>IF($A814="","",IFERROR(AVERAGEIFS(Orders_Log!$H:$H,Orders_Log!$C:$C,$A814,Orders_Log!$H:$H,"&gt;0"),0))</f>
        <v/>
      </c>
      <c r="H814">
        <f>IF($A814="","",COUNTIFS(Orders_Log!$C:$C,$A814,Orders_Log!$P:$P,"Returned to Picker"))</f>
        <v/>
      </c>
    </row>
    <row r="815">
      <c r="B815">
        <f>IF($A815="","",COUNTIFS(Orders_Log!$C:$C,$A815,Orders_Log!$B:$B,"&lt;&gt;"))</f>
        <v/>
      </c>
      <c r="C815">
        <f>IF($A815="","",COUNTIFS(Orders_Log!$C:$C,$A815,Orders_Log!$M:$M,"Yes"))</f>
        <v/>
      </c>
      <c r="D815" s="5">
        <f>IF(B815=0,0,C815/B815)</f>
        <v/>
      </c>
      <c r="E815">
        <f>IF($A815="","",SUMIFS(Orders_Log!$I:$I,Orders_Log!$C:$C,$A815))</f>
        <v/>
      </c>
      <c r="F815">
        <f>IF(B815=0,0,E815/B815)</f>
        <v/>
      </c>
      <c r="G815">
        <f>IF($A815="","",IFERROR(AVERAGEIFS(Orders_Log!$H:$H,Orders_Log!$C:$C,$A815,Orders_Log!$H:$H,"&gt;0"),0))</f>
        <v/>
      </c>
      <c r="H815">
        <f>IF($A815="","",COUNTIFS(Orders_Log!$C:$C,$A815,Orders_Log!$P:$P,"Returned to Picker"))</f>
        <v/>
      </c>
    </row>
    <row r="816">
      <c r="B816">
        <f>IF($A816="","",COUNTIFS(Orders_Log!$C:$C,$A816,Orders_Log!$B:$B,"&lt;&gt;"))</f>
        <v/>
      </c>
      <c r="C816">
        <f>IF($A816="","",COUNTIFS(Orders_Log!$C:$C,$A816,Orders_Log!$M:$M,"Yes"))</f>
        <v/>
      </c>
      <c r="D816" s="5">
        <f>IF(B816=0,0,C816/B816)</f>
        <v/>
      </c>
      <c r="E816">
        <f>IF($A816="","",SUMIFS(Orders_Log!$I:$I,Orders_Log!$C:$C,$A816))</f>
        <v/>
      </c>
      <c r="F816">
        <f>IF(B816=0,0,E816/B816)</f>
        <v/>
      </c>
      <c r="G816">
        <f>IF($A816="","",IFERROR(AVERAGEIFS(Orders_Log!$H:$H,Orders_Log!$C:$C,$A816,Orders_Log!$H:$H,"&gt;0"),0))</f>
        <v/>
      </c>
      <c r="H816">
        <f>IF($A816="","",COUNTIFS(Orders_Log!$C:$C,$A816,Orders_Log!$P:$P,"Returned to Picker"))</f>
        <v/>
      </c>
    </row>
    <row r="817">
      <c r="B817">
        <f>IF($A817="","",COUNTIFS(Orders_Log!$C:$C,$A817,Orders_Log!$B:$B,"&lt;&gt;"))</f>
        <v/>
      </c>
      <c r="C817">
        <f>IF($A817="","",COUNTIFS(Orders_Log!$C:$C,$A817,Orders_Log!$M:$M,"Yes"))</f>
        <v/>
      </c>
      <c r="D817" s="5">
        <f>IF(B817=0,0,C817/B817)</f>
        <v/>
      </c>
      <c r="E817">
        <f>IF($A817="","",SUMIFS(Orders_Log!$I:$I,Orders_Log!$C:$C,$A817))</f>
        <v/>
      </c>
      <c r="F817">
        <f>IF(B817=0,0,E817/B817)</f>
        <v/>
      </c>
      <c r="G817">
        <f>IF($A817="","",IFERROR(AVERAGEIFS(Orders_Log!$H:$H,Orders_Log!$C:$C,$A817,Orders_Log!$H:$H,"&gt;0"),0))</f>
        <v/>
      </c>
      <c r="H817">
        <f>IF($A817="","",COUNTIFS(Orders_Log!$C:$C,$A817,Orders_Log!$P:$P,"Returned to Picker"))</f>
        <v/>
      </c>
    </row>
    <row r="818">
      <c r="B818">
        <f>IF($A818="","",COUNTIFS(Orders_Log!$C:$C,$A818,Orders_Log!$B:$B,"&lt;&gt;"))</f>
        <v/>
      </c>
      <c r="C818">
        <f>IF($A818="","",COUNTIFS(Orders_Log!$C:$C,$A818,Orders_Log!$M:$M,"Yes"))</f>
        <v/>
      </c>
      <c r="D818" s="5">
        <f>IF(B818=0,0,C818/B818)</f>
        <v/>
      </c>
      <c r="E818">
        <f>IF($A818="","",SUMIFS(Orders_Log!$I:$I,Orders_Log!$C:$C,$A818))</f>
        <v/>
      </c>
      <c r="F818">
        <f>IF(B818=0,0,E818/B818)</f>
        <v/>
      </c>
      <c r="G818">
        <f>IF($A818="","",IFERROR(AVERAGEIFS(Orders_Log!$H:$H,Orders_Log!$C:$C,$A818,Orders_Log!$H:$H,"&gt;0"),0))</f>
        <v/>
      </c>
      <c r="H818">
        <f>IF($A818="","",COUNTIFS(Orders_Log!$C:$C,$A818,Orders_Log!$P:$P,"Returned to Picker"))</f>
        <v/>
      </c>
    </row>
    <row r="819">
      <c r="B819">
        <f>IF($A819="","",COUNTIFS(Orders_Log!$C:$C,$A819,Orders_Log!$B:$B,"&lt;&gt;"))</f>
        <v/>
      </c>
      <c r="C819">
        <f>IF($A819="","",COUNTIFS(Orders_Log!$C:$C,$A819,Orders_Log!$M:$M,"Yes"))</f>
        <v/>
      </c>
      <c r="D819" s="5">
        <f>IF(B819=0,0,C819/B819)</f>
        <v/>
      </c>
      <c r="E819">
        <f>IF($A819="","",SUMIFS(Orders_Log!$I:$I,Orders_Log!$C:$C,$A819))</f>
        <v/>
      </c>
      <c r="F819">
        <f>IF(B819=0,0,E819/B819)</f>
        <v/>
      </c>
      <c r="G819">
        <f>IF($A819="","",IFERROR(AVERAGEIFS(Orders_Log!$H:$H,Orders_Log!$C:$C,$A819,Orders_Log!$H:$H,"&gt;0"),0))</f>
        <v/>
      </c>
      <c r="H819">
        <f>IF($A819="","",COUNTIFS(Orders_Log!$C:$C,$A819,Orders_Log!$P:$P,"Returned to Picker"))</f>
        <v/>
      </c>
    </row>
    <row r="820">
      <c r="B820">
        <f>IF($A820="","",COUNTIFS(Orders_Log!$C:$C,$A820,Orders_Log!$B:$B,"&lt;&gt;"))</f>
        <v/>
      </c>
      <c r="C820">
        <f>IF($A820="","",COUNTIFS(Orders_Log!$C:$C,$A820,Orders_Log!$M:$M,"Yes"))</f>
        <v/>
      </c>
      <c r="D820" s="5">
        <f>IF(B820=0,0,C820/B820)</f>
        <v/>
      </c>
      <c r="E820">
        <f>IF($A820="","",SUMIFS(Orders_Log!$I:$I,Orders_Log!$C:$C,$A820))</f>
        <v/>
      </c>
      <c r="F820">
        <f>IF(B820=0,0,E820/B820)</f>
        <v/>
      </c>
      <c r="G820">
        <f>IF($A820="","",IFERROR(AVERAGEIFS(Orders_Log!$H:$H,Orders_Log!$C:$C,$A820,Orders_Log!$H:$H,"&gt;0"),0))</f>
        <v/>
      </c>
      <c r="H820">
        <f>IF($A820="","",COUNTIFS(Orders_Log!$C:$C,$A820,Orders_Log!$P:$P,"Returned to Picker"))</f>
        <v/>
      </c>
    </row>
    <row r="821">
      <c r="B821">
        <f>IF($A821="","",COUNTIFS(Orders_Log!$C:$C,$A821,Orders_Log!$B:$B,"&lt;&gt;"))</f>
        <v/>
      </c>
      <c r="C821">
        <f>IF($A821="","",COUNTIFS(Orders_Log!$C:$C,$A821,Orders_Log!$M:$M,"Yes"))</f>
        <v/>
      </c>
      <c r="D821" s="5">
        <f>IF(B821=0,0,C821/B821)</f>
        <v/>
      </c>
      <c r="E821">
        <f>IF($A821="","",SUMIFS(Orders_Log!$I:$I,Orders_Log!$C:$C,$A821))</f>
        <v/>
      </c>
      <c r="F821">
        <f>IF(B821=0,0,E821/B821)</f>
        <v/>
      </c>
      <c r="G821">
        <f>IF($A821="","",IFERROR(AVERAGEIFS(Orders_Log!$H:$H,Orders_Log!$C:$C,$A821,Orders_Log!$H:$H,"&gt;0"),0))</f>
        <v/>
      </c>
      <c r="H821">
        <f>IF($A821="","",COUNTIFS(Orders_Log!$C:$C,$A821,Orders_Log!$P:$P,"Returned to Picker"))</f>
        <v/>
      </c>
    </row>
    <row r="822">
      <c r="B822">
        <f>IF($A822="","",COUNTIFS(Orders_Log!$C:$C,$A822,Orders_Log!$B:$B,"&lt;&gt;"))</f>
        <v/>
      </c>
      <c r="C822">
        <f>IF($A822="","",COUNTIFS(Orders_Log!$C:$C,$A822,Orders_Log!$M:$M,"Yes"))</f>
        <v/>
      </c>
      <c r="D822" s="5">
        <f>IF(B822=0,0,C822/B822)</f>
        <v/>
      </c>
      <c r="E822">
        <f>IF($A822="","",SUMIFS(Orders_Log!$I:$I,Orders_Log!$C:$C,$A822))</f>
        <v/>
      </c>
      <c r="F822">
        <f>IF(B822=0,0,E822/B822)</f>
        <v/>
      </c>
      <c r="G822">
        <f>IF($A822="","",IFERROR(AVERAGEIFS(Orders_Log!$H:$H,Orders_Log!$C:$C,$A822,Orders_Log!$H:$H,"&gt;0"),0))</f>
        <v/>
      </c>
      <c r="H822">
        <f>IF($A822="","",COUNTIFS(Orders_Log!$C:$C,$A822,Orders_Log!$P:$P,"Returned to Picker"))</f>
        <v/>
      </c>
    </row>
    <row r="823">
      <c r="B823">
        <f>IF($A823="","",COUNTIFS(Orders_Log!$C:$C,$A823,Orders_Log!$B:$B,"&lt;&gt;"))</f>
        <v/>
      </c>
      <c r="C823">
        <f>IF($A823="","",COUNTIFS(Orders_Log!$C:$C,$A823,Orders_Log!$M:$M,"Yes"))</f>
        <v/>
      </c>
      <c r="D823" s="5">
        <f>IF(B823=0,0,C823/B823)</f>
        <v/>
      </c>
      <c r="E823">
        <f>IF($A823="","",SUMIFS(Orders_Log!$I:$I,Orders_Log!$C:$C,$A823))</f>
        <v/>
      </c>
      <c r="F823">
        <f>IF(B823=0,0,E823/B823)</f>
        <v/>
      </c>
      <c r="G823">
        <f>IF($A823="","",IFERROR(AVERAGEIFS(Orders_Log!$H:$H,Orders_Log!$C:$C,$A823,Orders_Log!$H:$H,"&gt;0"),0))</f>
        <v/>
      </c>
      <c r="H823">
        <f>IF($A823="","",COUNTIFS(Orders_Log!$C:$C,$A823,Orders_Log!$P:$P,"Returned to Picker"))</f>
        <v/>
      </c>
    </row>
    <row r="824">
      <c r="B824">
        <f>IF($A824="","",COUNTIFS(Orders_Log!$C:$C,$A824,Orders_Log!$B:$B,"&lt;&gt;"))</f>
        <v/>
      </c>
      <c r="C824">
        <f>IF($A824="","",COUNTIFS(Orders_Log!$C:$C,$A824,Orders_Log!$M:$M,"Yes"))</f>
        <v/>
      </c>
      <c r="D824" s="5">
        <f>IF(B824=0,0,C824/B824)</f>
        <v/>
      </c>
      <c r="E824">
        <f>IF($A824="","",SUMIFS(Orders_Log!$I:$I,Orders_Log!$C:$C,$A824))</f>
        <v/>
      </c>
      <c r="F824">
        <f>IF(B824=0,0,E824/B824)</f>
        <v/>
      </c>
      <c r="G824">
        <f>IF($A824="","",IFERROR(AVERAGEIFS(Orders_Log!$H:$H,Orders_Log!$C:$C,$A824,Orders_Log!$H:$H,"&gt;0"),0))</f>
        <v/>
      </c>
      <c r="H824">
        <f>IF($A824="","",COUNTIFS(Orders_Log!$C:$C,$A824,Orders_Log!$P:$P,"Returned to Picker"))</f>
        <v/>
      </c>
    </row>
    <row r="825">
      <c r="B825">
        <f>IF($A825="","",COUNTIFS(Orders_Log!$C:$C,$A825,Orders_Log!$B:$B,"&lt;&gt;"))</f>
        <v/>
      </c>
      <c r="C825">
        <f>IF($A825="","",COUNTIFS(Orders_Log!$C:$C,$A825,Orders_Log!$M:$M,"Yes"))</f>
        <v/>
      </c>
      <c r="D825" s="5">
        <f>IF(B825=0,0,C825/B825)</f>
        <v/>
      </c>
      <c r="E825">
        <f>IF($A825="","",SUMIFS(Orders_Log!$I:$I,Orders_Log!$C:$C,$A825))</f>
        <v/>
      </c>
      <c r="F825">
        <f>IF(B825=0,0,E825/B825)</f>
        <v/>
      </c>
      <c r="G825">
        <f>IF($A825="","",IFERROR(AVERAGEIFS(Orders_Log!$H:$H,Orders_Log!$C:$C,$A825,Orders_Log!$H:$H,"&gt;0"),0))</f>
        <v/>
      </c>
      <c r="H825">
        <f>IF($A825="","",COUNTIFS(Orders_Log!$C:$C,$A825,Orders_Log!$P:$P,"Returned to Picker"))</f>
        <v/>
      </c>
    </row>
    <row r="826">
      <c r="B826">
        <f>IF($A826="","",COUNTIFS(Orders_Log!$C:$C,$A826,Orders_Log!$B:$B,"&lt;&gt;"))</f>
        <v/>
      </c>
      <c r="C826">
        <f>IF($A826="","",COUNTIFS(Orders_Log!$C:$C,$A826,Orders_Log!$M:$M,"Yes"))</f>
        <v/>
      </c>
      <c r="D826" s="5">
        <f>IF(B826=0,0,C826/B826)</f>
        <v/>
      </c>
      <c r="E826">
        <f>IF($A826="","",SUMIFS(Orders_Log!$I:$I,Orders_Log!$C:$C,$A826))</f>
        <v/>
      </c>
      <c r="F826">
        <f>IF(B826=0,0,E826/B826)</f>
        <v/>
      </c>
      <c r="G826">
        <f>IF($A826="","",IFERROR(AVERAGEIFS(Orders_Log!$H:$H,Orders_Log!$C:$C,$A826,Orders_Log!$H:$H,"&gt;0"),0))</f>
        <v/>
      </c>
      <c r="H826">
        <f>IF($A826="","",COUNTIFS(Orders_Log!$C:$C,$A826,Orders_Log!$P:$P,"Returned to Picker"))</f>
        <v/>
      </c>
    </row>
    <row r="827">
      <c r="B827">
        <f>IF($A827="","",COUNTIFS(Orders_Log!$C:$C,$A827,Orders_Log!$B:$B,"&lt;&gt;"))</f>
        <v/>
      </c>
      <c r="C827">
        <f>IF($A827="","",COUNTIFS(Orders_Log!$C:$C,$A827,Orders_Log!$M:$M,"Yes"))</f>
        <v/>
      </c>
      <c r="D827" s="5">
        <f>IF(B827=0,0,C827/B827)</f>
        <v/>
      </c>
      <c r="E827">
        <f>IF($A827="","",SUMIFS(Orders_Log!$I:$I,Orders_Log!$C:$C,$A827))</f>
        <v/>
      </c>
      <c r="F827">
        <f>IF(B827=0,0,E827/B827)</f>
        <v/>
      </c>
      <c r="G827">
        <f>IF($A827="","",IFERROR(AVERAGEIFS(Orders_Log!$H:$H,Orders_Log!$C:$C,$A827,Orders_Log!$H:$H,"&gt;0"),0))</f>
        <v/>
      </c>
      <c r="H827">
        <f>IF($A827="","",COUNTIFS(Orders_Log!$C:$C,$A827,Orders_Log!$P:$P,"Returned to Picker"))</f>
        <v/>
      </c>
    </row>
    <row r="828">
      <c r="B828">
        <f>IF($A828="","",COUNTIFS(Orders_Log!$C:$C,$A828,Orders_Log!$B:$B,"&lt;&gt;"))</f>
        <v/>
      </c>
      <c r="C828">
        <f>IF($A828="","",COUNTIFS(Orders_Log!$C:$C,$A828,Orders_Log!$M:$M,"Yes"))</f>
        <v/>
      </c>
      <c r="D828" s="5">
        <f>IF(B828=0,0,C828/B828)</f>
        <v/>
      </c>
      <c r="E828">
        <f>IF($A828="","",SUMIFS(Orders_Log!$I:$I,Orders_Log!$C:$C,$A828))</f>
        <v/>
      </c>
      <c r="F828">
        <f>IF(B828=0,0,E828/B828)</f>
        <v/>
      </c>
      <c r="G828">
        <f>IF($A828="","",IFERROR(AVERAGEIFS(Orders_Log!$H:$H,Orders_Log!$C:$C,$A828,Orders_Log!$H:$H,"&gt;0"),0))</f>
        <v/>
      </c>
      <c r="H828">
        <f>IF($A828="","",COUNTIFS(Orders_Log!$C:$C,$A828,Orders_Log!$P:$P,"Returned to Picker"))</f>
        <v/>
      </c>
    </row>
    <row r="829">
      <c r="B829">
        <f>IF($A829="","",COUNTIFS(Orders_Log!$C:$C,$A829,Orders_Log!$B:$B,"&lt;&gt;"))</f>
        <v/>
      </c>
      <c r="C829">
        <f>IF($A829="","",COUNTIFS(Orders_Log!$C:$C,$A829,Orders_Log!$M:$M,"Yes"))</f>
        <v/>
      </c>
      <c r="D829" s="5">
        <f>IF(B829=0,0,C829/B829)</f>
        <v/>
      </c>
      <c r="E829">
        <f>IF($A829="","",SUMIFS(Orders_Log!$I:$I,Orders_Log!$C:$C,$A829))</f>
        <v/>
      </c>
      <c r="F829">
        <f>IF(B829=0,0,E829/B829)</f>
        <v/>
      </c>
      <c r="G829">
        <f>IF($A829="","",IFERROR(AVERAGEIFS(Orders_Log!$H:$H,Orders_Log!$C:$C,$A829,Orders_Log!$H:$H,"&gt;0"),0))</f>
        <v/>
      </c>
      <c r="H829">
        <f>IF($A829="","",COUNTIFS(Orders_Log!$C:$C,$A829,Orders_Log!$P:$P,"Returned to Picker"))</f>
        <v/>
      </c>
    </row>
    <row r="830">
      <c r="B830">
        <f>IF($A830="","",COUNTIFS(Orders_Log!$C:$C,$A830,Orders_Log!$B:$B,"&lt;&gt;"))</f>
        <v/>
      </c>
      <c r="C830">
        <f>IF($A830="","",COUNTIFS(Orders_Log!$C:$C,$A830,Orders_Log!$M:$M,"Yes"))</f>
        <v/>
      </c>
      <c r="D830" s="5">
        <f>IF(B830=0,0,C830/B830)</f>
        <v/>
      </c>
      <c r="E830">
        <f>IF($A830="","",SUMIFS(Orders_Log!$I:$I,Orders_Log!$C:$C,$A830))</f>
        <v/>
      </c>
      <c r="F830">
        <f>IF(B830=0,0,E830/B830)</f>
        <v/>
      </c>
      <c r="G830">
        <f>IF($A830="","",IFERROR(AVERAGEIFS(Orders_Log!$H:$H,Orders_Log!$C:$C,$A830,Orders_Log!$H:$H,"&gt;0"),0))</f>
        <v/>
      </c>
      <c r="H830">
        <f>IF($A830="","",COUNTIFS(Orders_Log!$C:$C,$A830,Orders_Log!$P:$P,"Returned to Picker"))</f>
        <v/>
      </c>
    </row>
    <row r="831">
      <c r="B831">
        <f>IF($A831="","",COUNTIFS(Orders_Log!$C:$C,$A831,Orders_Log!$B:$B,"&lt;&gt;"))</f>
        <v/>
      </c>
      <c r="C831">
        <f>IF($A831="","",COUNTIFS(Orders_Log!$C:$C,$A831,Orders_Log!$M:$M,"Yes"))</f>
        <v/>
      </c>
      <c r="D831" s="5">
        <f>IF(B831=0,0,C831/B831)</f>
        <v/>
      </c>
      <c r="E831">
        <f>IF($A831="","",SUMIFS(Orders_Log!$I:$I,Orders_Log!$C:$C,$A831))</f>
        <v/>
      </c>
      <c r="F831">
        <f>IF(B831=0,0,E831/B831)</f>
        <v/>
      </c>
      <c r="G831">
        <f>IF($A831="","",IFERROR(AVERAGEIFS(Orders_Log!$H:$H,Orders_Log!$C:$C,$A831,Orders_Log!$H:$H,"&gt;0"),0))</f>
        <v/>
      </c>
      <c r="H831">
        <f>IF($A831="","",COUNTIFS(Orders_Log!$C:$C,$A831,Orders_Log!$P:$P,"Returned to Picker"))</f>
        <v/>
      </c>
    </row>
    <row r="832">
      <c r="B832">
        <f>IF($A832="","",COUNTIFS(Orders_Log!$C:$C,$A832,Orders_Log!$B:$B,"&lt;&gt;"))</f>
        <v/>
      </c>
      <c r="C832">
        <f>IF($A832="","",COUNTIFS(Orders_Log!$C:$C,$A832,Orders_Log!$M:$M,"Yes"))</f>
        <v/>
      </c>
      <c r="D832" s="5">
        <f>IF(B832=0,0,C832/B832)</f>
        <v/>
      </c>
      <c r="E832">
        <f>IF($A832="","",SUMIFS(Orders_Log!$I:$I,Orders_Log!$C:$C,$A832))</f>
        <v/>
      </c>
      <c r="F832">
        <f>IF(B832=0,0,E832/B832)</f>
        <v/>
      </c>
      <c r="G832">
        <f>IF($A832="","",IFERROR(AVERAGEIFS(Orders_Log!$H:$H,Orders_Log!$C:$C,$A832,Orders_Log!$H:$H,"&gt;0"),0))</f>
        <v/>
      </c>
      <c r="H832">
        <f>IF($A832="","",COUNTIFS(Orders_Log!$C:$C,$A832,Orders_Log!$P:$P,"Returned to Picker"))</f>
        <v/>
      </c>
    </row>
    <row r="833">
      <c r="B833">
        <f>IF($A833="","",COUNTIFS(Orders_Log!$C:$C,$A833,Orders_Log!$B:$B,"&lt;&gt;"))</f>
        <v/>
      </c>
      <c r="C833">
        <f>IF($A833="","",COUNTIFS(Orders_Log!$C:$C,$A833,Orders_Log!$M:$M,"Yes"))</f>
        <v/>
      </c>
      <c r="D833" s="5">
        <f>IF(B833=0,0,C833/B833)</f>
        <v/>
      </c>
      <c r="E833">
        <f>IF($A833="","",SUMIFS(Orders_Log!$I:$I,Orders_Log!$C:$C,$A833))</f>
        <v/>
      </c>
      <c r="F833">
        <f>IF(B833=0,0,E833/B833)</f>
        <v/>
      </c>
      <c r="G833">
        <f>IF($A833="","",IFERROR(AVERAGEIFS(Orders_Log!$H:$H,Orders_Log!$C:$C,$A833,Orders_Log!$H:$H,"&gt;0"),0))</f>
        <v/>
      </c>
      <c r="H833">
        <f>IF($A833="","",COUNTIFS(Orders_Log!$C:$C,$A833,Orders_Log!$P:$P,"Returned to Picker"))</f>
        <v/>
      </c>
    </row>
    <row r="834">
      <c r="B834">
        <f>IF($A834="","",COUNTIFS(Orders_Log!$C:$C,$A834,Orders_Log!$B:$B,"&lt;&gt;"))</f>
        <v/>
      </c>
      <c r="C834">
        <f>IF($A834="","",COUNTIFS(Orders_Log!$C:$C,$A834,Orders_Log!$M:$M,"Yes"))</f>
        <v/>
      </c>
      <c r="D834" s="5">
        <f>IF(B834=0,0,C834/B834)</f>
        <v/>
      </c>
      <c r="E834">
        <f>IF($A834="","",SUMIFS(Orders_Log!$I:$I,Orders_Log!$C:$C,$A834))</f>
        <v/>
      </c>
      <c r="F834">
        <f>IF(B834=0,0,E834/B834)</f>
        <v/>
      </c>
      <c r="G834">
        <f>IF($A834="","",IFERROR(AVERAGEIFS(Orders_Log!$H:$H,Orders_Log!$C:$C,$A834,Orders_Log!$H:$H,"&gt;0"),0))</f>
        <v/>
      </c>
      <c r="H834">
        <f>IF($A834="","",COUNTIFS(Orders_Log!$C:$C,$A834,Orders_Log!$P:$P,"Returned to Picker"))</f>
        <v/>
      </c>
    </row>
    <row r="835">
      <c r="B835">
        <f>IF($A835="","",COUNTIFS(Orders_Log!$C:$C,$A835,Orders_Log!$B:$B,"&lt;&gt;"))</f>
        <v/>
      </c>
      <c r="C835">
        <f>IF($A835="","",COUNTIFS(Orders_Log!$C:$C,$A835,Orders_Log!$M:$M,"Yes"))</f>
        <v/>
      </c>
      <c r="D835" s="5">
        <f>IF(B835=0,0,C835/B835)</f>
        <v/>
      </c>
      <c r="E835">
        <f>IF($A835="","",SUMIFS(Orders_Log!$I:$I,Orders_Log!$C:$C,$A835))</f>
        <v/>
      </c>
      <c r="F835">
        <f>IF(B835=0,0,E835/B835)</f>
        <v/>
      </c>
      <c r="G835">
        <f>IF($A835="","",IFERROR(AVERAGEIFS(Orders_Log!$H:$H,Orders_Log!$C:$C,$A835,Orders_Log!$H:$H,"&gt;0"),0))</f>
        <v/>
      </c>
      <c r="H835">
        <f>IF($A835="","",COUNTIFS(Orders_Log!$C:$C,$A835,Orders_Log!$P:$P,"Returned to Picker"))</f>
        <v/>
      </c>
    </row>
    <row r="836">
      <c r="B836">
        <f>IF($A836="","",COUNTIFS(Orders_Log!$C:$C,$A836,Orders_Log!$B:$B,"&lt;&gt;"))</f>
        <v/>
      </c>
      <c r="C836">
        <f>IF($A836="","",COUNTIFS(Orders_Log!$C:$C,$A836,Orders_Log!$M:$M,"Yes"))</f>
        <v/>
      </c>
      <c r="D836" s="5">
        <f>IF(B836=0,0,C836/B836)</f>
        <v/>
      </c>
      <c r="E836">
        <f>IF($A836="","",SUMIFS(Orders_Log!$I:$I,Orders_Log!$C:$C,$A836))</f>
        <v/>
      </c>
      <c r="F836">
        <f>IF(B836=0,0,E836/B836)</f>
        <v/>
      </c>
      <c r="G836">
        <f>IF($A836="","",IFERROR(AVERAGEIFS(Orders_Log!$H:$H,Orders_Log!$C:$C,$A836,Orders_Log!$H:$H,"&gt;0"),0))</f>
        <v/>
      </c>
      <c r="H836">
        <f>IF($A836="","",COUNTIFS(Orders_Log!$C:$C,$A836,Orders_Log!$P:$P,"Returned to Picker"))</f>
        <v/>
      </c>
    </row>
    <row r="837">
      <c r="B837">
        <f>IF($A837="","",COUNTIFS(Orders_Log!$C:$C,$A837,Orders_Log!$B:$B,"&lt;&gt;"))</f>
        <v/>
      </c>
      <c r="C837">
        <f>IF($A837="","",COUNTIFS(Orders_Log!$C:$C,$A837,Orders_Log!$M:$M,"Yes"))</f>
        <v/>
      </c>
      <c r="D837" s="5">
        <f>IF(B837=0,0,C837/B837)</f>
        <v/>
      </c>
      <c r="E837">
        <f>IF($A837="","",SUMIFS(Orders_Log!$I:$I,Orders_Log!$C:$C,$A837))</f>
        <v/>
      </c>
      <c r="F837">
        <f>IF(B837=0,0,E837/B837)</f>
        <v/>
      </c>
      <c r="G837">
        <f>IF($A837="","",IFERROR(AVERAGEIFS(Orders_Log!$H:$H,Orders_Log!$C:$C,$A837,Orders_Log!$H:$H,"&gt;0"),0))</f>
        <v/>
      </c>
      <c r="H837">
        <f>IF($A837="","",COUNTIFS(Orders_Log!$C:$C,$A837,Orders_Log!$P:$P,"Returned to Picker"))</f>
        <v/>
      </c>
    </row>
    <row r="838">
      <c r="B838">
        <f>IF($A838="","",COUNTIFS(Orders_Log!$C:$C,$A838,Orders_Log!$B:$B,"&lt;&gt;"))</f>
        <v/>
      </c>
      <c r="C838">
        <f>IF($A838="","",COUNTIFS(Orders_Log!$C:$C,$A838,Orders_Log!$M:$M,"Yes"))</f>
        <v/>
      </c>
      <c r="D838" s="5">
        <f>IF(B838=0,0,C838/B838)</f>
        <v/>
      </c>
      <c r="E838">
        <f>IF($A838="","",SUMIFS(Orders_Log!$I:$I,Orders_Log!$C:$C,$A838))</f>
        <v/>
      </c>
      <c r="F838">
        <f>IF(B838=0,0,E838/B838)</f>
        <v/>
      </c>
      <c r="G838">
        <f>IF($A838="","",IFERROR(AVERAGEIFS(Orders_Log!$H:$H,Orders_Log!$C:$C,$A838,Orders_Log!$H:$H,"&gt;0"),0))</f>
        <v/>
      </c>
      <c r="H838">
        <f>IF($A838="","",COUNTIFS(Orders_Log!$C:$C,$A838,Orders_Log!$P:$P,"Returned to Picker"))</f>
        <v/>
      </c>
    </row>
    <row r="839">
      <c r="B839">
        <f>IF($A839="","",COUNTIFS(Orders_Log!$C:$C,$A839,Orders_Log!$B:$B,"&lt;&gt;"))</f>
        <v/>
      </c>
      <c r="C839">
        <f>IF($A839="","",COUNTIFS(Orders_Log!$C:$C,$A839,Orders_Log!$M:$M,"Yes"))</f>
        <v/>
      </c>
      <c r="D839" s="5">
        <f>IF(B839=0,0,C839/B839)</f>
        <v/>
      </c>
      <c r="E839">
        <f>IF($A839="","",SUMIFS(Orders_Log!$I:$I,Orders_Log!$C:$C,$A839))</f>
        <v/>
      </c>
      <c r="F839">
        <f>IF(B839=0,0,E839/B839)</f>
        <v/>
      </c>
      <c r="G839">
        <f>IF($A839="","",IFERROR(AVERAGEIFS(Orders_Log!$H:$H,Orders_Log!$C:$C,$A839,Orders_Log!$H:$H,"&gt;0"),0))</f>
        <v/>
      </c>
      <c r="H839">
        <f>IF($A839="","",COUNTIFS(Orders_Log!$C:$C,$A839,Orders_Log!$P:$P,"Returned to Picker"))</f>
        <v/>
      </c>
    </row>
    <row r="840">
      <c r="B840">
        <f>IF($A840="","",COUNTIFS(Orders_Log!$C:$C,$A840,Orders_Log!$B:$B,"&lt;&gt;"))</f>
        <v/>
      </c>
      <c r="C840">
        <f>IF($A840="","",COUNTIFS(Orders_Log!$C:$C,$A840,Orders_Log!$M:$M,"Yes"))</f>
        <v/>
      </c>
      <c r="D840" s="5">
        <f>IF(B840=0,0,C840/B840)</f>
        <v/>
      </c>
      <c r="E840">
        <f>IF($A840="","",SUMIFS(Orders_Log!$I:$I,Orders_Log!$C:$C,$A840))</f>
        <v/>
      </c>
      <c r="F840">
        <f>IF(B840=0,0,E840/B840)</f>
        <v/>
      </c>
      <c r="G840">
        <f>IF($A840="","",IFERROR(AVERAGEIFS(Orders_Log!$H:$H,Orders_Log!$C:$C,$A840,Orders_Log!$H:$H,"&gt;0"),0))</f>
        <v/>
      </c>
      <c r="H840">
        <f>IF($A840="","",COUNTIFS(Orders_Log!$C:$C,$A840,Orders_Log!$P:$P,"Returned to Picker"))</f>
        <v/>
      </c>
    </row>
    <row r="841">
      <c r="B841">
        <f>IF($A841="","",COUNTIFS(Orders_Log!$C:$C,$A841,Orders_Log!$B:$B,"&lt;&gt;"))</f>
        <v/>
      </c>
      <c r="C841">
        <f>IF($A841="","",COUNTIFS(Orders_Log!$C:$C,$A841,Orders_Log!$M:$M,"Yes"))</f>
        <v/>
      </c>
      <c r="D841" s="5">
        <f>IF(B841=0,0,C841/B841)</f>
        <v/>
      </c>
      <c r="E841">
        <f>IF($A841="","",SUMIFS(Orders_Log!$I:$I,Orders_Log!$C:$C,$A841))</f>
        <v/>
      </c>
      <c r="F841">
        <f>IF(B841=0,0,E841/B841)</f>
        <v/>
      </c>
      <c r="G841">
        <f>IF($A841="","",IFERROR(AVERAGEIFS(Orders_Log!$H:$H,Orders_Log!$C:$C,$A841,Orders_Log!$H:$H,"&gt;0"),0))</f>
        <v/>
      </c>
      <c r="H841">
        <f>IF($A841="","",COUNTIFS(Orders_Log!$C:$C,$A841,Orders_Log!$P:$P,"Returned to Picker"))</f>
        <v/>
      </c>
    </row>
    <row r="842">
      <c r="B842">
        <f>IF($A842="","",COUNTIFS(Orders_Log!$C:$C,$A842,Orders_Log!$B:$B,"&lt;&gt;"))</f>
        <v/>
      </c>
      <c r="C842">
        <f>IF($A842="","",COUNTIFS(Orders_Log!$C:$C,$A842,Orders_Log!$M:$M,"Yes"))</f>
        <v/>
      </c>
      <c r="D842" s="5">
        <f>IF(B842=0,0,C842/B842)</f>
        <v/>
      </c>
      <c r="E842">
        <f>IF($A842="","",SUMIFS(Orders_Log!$I:$I,Orders_Log!$C:$C,$A842))</f>
        <v/>
      </c>
      <c r="F842">
        <f>IF(B842=0,0,E842/B842)</f>
        <v/>
      </c>
      <c r="G842">
        <f>IF($A842="","",IFERROR(AVERAGEIFS(Orders_Log!$H:$H,Orders_Log!$C:$C,$A842,Orders_Log!$H:$H,"&gt;0"),0))</f>
        <v/>
      </c>
      <c r="H842">
        <f>IF($A842="","",COUNTIFS(Orders_Log!$C:$C,$A842,Orders_Log!$P:$P,"Returned to Picker"))</f>
        <v/>
      </c>
    </row>
    <row r="843">
      <c r="B843">
        <f>IF($A843="","",COUNTIFS(Orders_Log!$C:$C,$A843,Orders_Log!$B:$B,"&lt;&gt;"))</f>
        <v/>
      </c>
      <c r="C843">
        <f>IF($A843="","",COUNTIFS(Orders_Log!$C:$C,$A843,Orders_Log!$M:$M,"Yes"))</f>
        <v/>
      </c>
      <c r="D843" s="5">
        <f>IF(B843=0,0,C843/B843)</f>
        <v/>
      </c>
      <c r="E843">
        <f>IF($A843="","",SUMIFS(Orders_Log!$I:$I,Orders_Log!$C:$C,$A843))</f>
        <v/>
      </c>
      <c r="F843">
        <f>IF(B843=0,0,E843/B843)</f>
        <v/>
      </c>
      <c r="G843">
        <f>IF($A843="","",IFERROR(AVERAGEIFS(Orders_Log!$H:$H,Orders_Log!$C:$C,$A843,Orders_Log!$H:$H,"&gt;0"),0))</f>
        <v/>
      </c>
      <c r="H843">
        <f>IF($A843="","",COUNTIFS(Orders_Log!$C:$C,$A843,Orders_Log!$P:$P,"Returned to Picker"))</f>
        <v/>
      </c>
    </row>
    <row r="844">
      <c r="B844">
        <f>IF($A844="","",COUNTIFS(Orders_Log!$C:$C,$A844,Orders_Log!$B:$B,"&lt;&gt;"))</f>
        <v/>
      </c>
      <c r="C844">
        <f>IF($A844="","",COUNTIFS(Orders_Log!$C:$C,$A844,Orders_Log!$M:$M,"Yes"))</f>
        <v/>
      </c>
      <c r="D844" s="5">
        <f>IF(B844=0,0,C844/B844)</f>
        <v/>
      </c>
      <c r="E844">
        <f>IF($A844="","",SUMIFS(Orders_Log!$I:$I,Orders_Log!$C:$C,$A844))</f>
        <v/>
      </c>
      <c r="F844">
        <f>IF(B844=0,0,E844/B844)</f>
        <v/>
      </c>
      <c r="G844">
        <f>IF($A844="","",IFERROR(AVERAGEIFS(Orders_Log!$H:$H,Orders_Log!$C:$C,$A844,Orders_Log!$H:$H,"&gt;0"),0))</f>
        <v/>
      </c>
      <c r="H844">
        <f>IF($A844="","",COUNTIFS(Orders_Log!$C:$C,$A844,Orders_Log!$P:$P,"Returned to Picker"))</f>
        <v/>
      </c>
    </row>
    <row r="845">
      <c r="B845">
        <f>IF($A845="","",COUNTIFS(Orders_Log!$C:$C,$A845,Orders_Log!$B:$B,"&lt;&gt;"))</f>
        <v/>
      </c>
      <c r="C845">
        <f>IF($A845="","",COUNTIFS(Orders_Log!$C:$C,$A845,Orders_Log!$M:$M,"Yes"))</f>
        <v/>
      </c>
      <c r="D845" s="5">
        <f>IF(B845=0,0,C845/B845)</f>
        <v/>
      </c>
      <c r="E845">
        <f>IF($A845="","",SUMIFS(Orders_Log!$I:$I,Orders_Log!$C:$C,$A845))</f>
        <v/>
      </c>
      <c r="F845">
        <f>IF(B845=0,0,E845/B845)</f>
        <v/>
      </c>
      <c r="G845">
        <f>IF($A845="","",IFERROR(AVERAGEIFS(Orders_Log!$H:$H,Orders_Log!$C:$C,$A845,Orders_Log!$H:$H,"&gt;0"),0))</f>
        <v/>
      </c>
      <c r="H845">
        <f>IF($A845="","",COUNTIFS(Orders_Log!$C:$C,$A845,Orders_Log!$P:$P,"Returned to Picker"))</f>
        <v/>
      </c>
    </row>
    <row r="846">
      <c r="B846">
        <f>IF($A846="","",COUNTIFS(Orders_Log!$C:$C,$A846,Orders_Log!$B:$B,"&lt;&gt;"))</f>
        <v/>
      </c>
      <c r="C846">
        <f>IF($A846="","",COUNTIFS(Orders_Log!$C:$C,$A846,Orders_Log!$M:$M,"Yes"))</f>
        <v/>
      </c>
      <c r="D846" s="5">
        <f>IF(B846=0,0,C846/B846)</f>
        <v/>
      </c>
      <c r="E846">
        <f>IF($A846="","",SUMIFS(Orders_Log!$I:$I,Orders_Log!$C:$C,$A846))</f>
        <v/>
      </c>
      <c r="F846">
        <f>IF(B846=0,0,E846/B846)</f>
        <v/>
      </c>
      <c r="G846">
        <f>IF($A846="","",IFERROR(AVERAGEIFS(Orders_Log!$H:$H,Orders_Log!$C:$C,$A846,Orders_Log!$H:$H,"&gt;0"),0))</f>
        <v/>
      </c>
      <c r="H846">
        <f>IF($A846="","",COUNTIFS(Orders_Log!$C:$C,$A846,Orders_Log!$P:$P,"Returned to Picker"))</f>
        <v/>
      </c>
    </row>
    <row r="847">
      <c r="B847">
        <f>IF($A847="","",COUNTIFS(Orders_Log!$C:$C,$A847,Orders_Log!$B:$B,"&lt;&gt;"))</f>
        <v/>
      </c>
      <c r="C847">
        <f>IF($A847="","",COUNTIFS(Orders_Log!$C:$C,$A847,Orders_Log!$M:$M,"Yes"))</f>
        <v/>
      </c>
      <c r="D847" s="5">
        <f>IF(B847=0,0,C847/B847)</f>
        <v/>
      </c>
      <c r="E847">
        <f>IF($A847="","",SUMIFS(Orders_Log!$I:$I,Orders_Log!$C:$C,$A847))</f>
        <v/>
      </c>
      <c r="F847">
        <f>IF(B847=0,0,E847/B847)</f>
        <v/>
      </c>
      <c r="G847">
        <f>IF($A847="","",IFERROR(AVERAGEIFS(Orders_Log!$H:$H,Orders_Log!$C:$C,$A847,Orders_Log!$H:$H,"&gt;0"),0))</f>
        <v/>
      </c>
      <c r="H847">
        <f>IF($A847="","",COUNTIFS(Orders_Log!$C:$C,$A847,Orders_Log!$P:$P,"Returned to Picker"))</f>
        <v/>
      </c>
    </row>
    <row r="848">
      <c r="B848">
        <f>IF($A848="","",COUNTIFS(Orders_Log!$C:$C,$A848,Orders_Log!$B:$B,"&lt;&gt;"))</f>
        <v/>
      </c>
      <c r="C848">
        <f>IF($A848="","",COUNTIFS(Orders_Log!$C:$C,$A848,Orders_Log!$M:$M,"Yes"))</f>
        <v/>
      </c>
      <c r="D848" s="5">
        <f>IF(B848=0,0,C848/B848)</f>
        <v/>
      </c>
      <c r="E848">
        <f>IF($A848="","",SUMIFS(Orders_Log!$I:$I,Orders_Log!$C:$C,$A848))</f>
        <v/>
      </c>
      <c r="F848">
        <f>IF(B848=0,0,E848/B848)</f>
        <v/>
      </c>
      <c r="G848">
        <f>IF($A848="","",IFERROR(AVERAGEIFS(Orders_Log!$H:$H,Orders_Log!$C:$C,$A848,Orders_Log!$H:$H,"&gt;0"),0))</f>
        <v/>
      </c>
      <c r="H848">
        <f>IF($A848="","",COUNTIFS(Orders_Log!$C:$C,$A848,Orders_Log!$P:$P,"Returned to Picker"))</f>
        <v/>
      </c>
    </row>
    <row r="849">
      <c r="B849">
        <f>IF($A849="","",COUNTIFS(Orders_Log!$C:$C,$A849,Orders_Log!$B:$B,"&lt;&gt;"))</f>
        <v/>
      </c>
      <c r="C849">
        <f>IF($A849="","",COUNTIFS(Orders_Log!$C:$C,$A849,Orders_Log!$M:$M,"Yes"))</f>
        <v/>
      </c>
      <c r="D849" s="5">
        <f>IF(B849=0,0,C849/B849)</f>
        <v/>
      </c>
      <c r="E849">
        <f>IF($A849="","",SUMIFS(Orders_Log!$I:$I,Orders_Log!$C:$C,$A849))</f>
        <v/>
      </c>
      <c r="F849">
        <f>IF(B849=0,0,E849/B849)</f>
        <v/>
      </c>
      <c r="G849">
        <f>IF($A849="","",IFERROR(AVERAGEIFS(Orders_Log!$H:$H,Orders_Log!$C:$C,$A849,Orders_Log!$H:$H,"&gt;0"),0))</f>
        <v/>
      </c>
      <c r="H849">
        <f>IF($A849="","",COUNTIFS(Orders_Log!$C:$C,$A849,Orders_Log!$P:$P,"Returned to Picker"))</f>
        <v/>
      </c>
    </row>
    <row r="850">
      <c r="B850">
        <f>IF($A850="","",COUNTIFS(Orders_Log!$C:$C,$A850,Orders_Log!$B:$B,"&lt;&gt;"))</f>
        <v/>
      </c>
      <c r="C850">
        <f>IF($A850="","",COUNTIFS(Orders_Log!$C:$C,$A850,Orders_Log!$M:$M,"Yes"))</f>
        <v/>
      </c>
      <c r="D850" s="5">
        <f>IF(B850=0,0,C850/B850)</f>
        <v/>
      </c>
      <c r="E850">
        <f>IF($A850="","",SUMIFS(Orders_Log!$I:$I,Orders_Log!$C:$C,$A850))</f>
        <v/>
      </c>
      <c r="F850">
        <f>IF(B850=0,0,E850/B850)</f>
        <v/>
      </c>
      <c r="G850">
        <f>IF($A850="","",IFERROR(AVERAGEIFS(Orders_Log!$H:$H,Orders_Log!$C:$C,$A850,Orders_Log!$H:$H,"&gt;0"),0))</f>
        <v/>
      </c>
      <c r="H850">
        <f>IF($A850="","",COUNTIFS(Orders_Log!$C:$C,$A850,Orders_Log!$P:$P,"Returned to Picker"))</f>
        <v/>
      </c>
    </row>
    <row r="851">
      <c r="B851">
        <f>IF($A851="","",COUNTIFS(Orders_Log!$C:$C,$A851,Orders_Log!$B:$B,"&lt;&gt;"))</f>
        <v/>
      </c>
      <c r="C851">
        <f>IF($A851="","",COUNTIFS(Orders_Log!$C:$C,$A851,Orders_Log!$M:$M,"Yes"))</f>
        <v/>
      </c>
      <c r="D851" s="5">
        <f>IF(B851=0,0,C851/B851)</f>
        <v/>
      </c>
      <c r="E851">
        <f>IF($A851="","",SUMIFS(Orders_Log!$I:$I,Orders_Log!$C:$C,$A851))</f>
        <v/>
      </c>
      <c r="F851">
        <f>IF(B851=0,0,E851/B851)</f>
        <v/>
      </c>
      <c r="G851">
        <f>IF($A851="","",IFERROR(AVERAGEIFS(Orders_Log!$H:$H,Orders_Log!$C:$C,$A851,Orders_Log!$H:$H,"&gt;0"),0))</f>
        <v/>
      </c>
      <c r="H851">
        <f>IF($A851="","",COUNTIFS(Orders_Log!$C:$C,$A851,Orders_Log!$P:$P,"Returned to Picker"))</f>
        <v/>
      </c>
    </row>
    <row r="852">
      <c r="B852">
        <f>IF($A852="","",COUNTIFS(Orders_Log!$C:$C,$A852,Orders_Log!$B:$B,"&lt;&gt;"))</f>
        <v/>
      </c>
      <c r="C852">
        <f>IF($A852="","",COUNTIFS(Orders_Log!$C:$C,$A852,Orders_Log!$M:$M,"Yes"))</f>
        <v/>
      </c>
      <c r="D852" s="5">
        <f>IF(B852=0,0,C852/B852)</f>
        <v/>
      </c>
      <c r="E852">
        <f>IF($A852="","",SUMIFS(Orders_Log!$I:$I,Orders_Log!$C:$C,$A852))</f>
        <v/>
      </c>
      <c r="F852">
        <f>IF(B852=0,0,E852/B852)</f>
        <v/>
      </c>
      <c r="G852">
        <f>IF($A852="","",IFERROR(AVERAGEIFS(Orders_Log!$H:$H,Orders_Log!$C:$C,$A852,Orders_Log!$H:$H,"&gt;0"),0))</f>
        <v/>
      </c>
      <c r="H852">
        <f>IF($A852="","",COUNTIFS(Orders_Log!$C:$C,$A852,Orders_Log!$P:$P,"Returned to Picker"))</f>
        <v/>
      </c>
    </row>
    <row r="853">
      <c r="B853">
        <f>IF($A853="","",COUNTIFS(Orders_Log!$C:$C,$A853,Orders_Log!$B:$B,"&lt;&gt;"))</f>
        <v/>
      </c>
      <c r="C853">
        <f>IF($A853="","",COUNTIFS(Orders_Log!$C:$C,$A853,Orders_Log!$M:$M,"Yes"))</f>
        <v/>
      </c>
      <c r="D853" s="5">
        <f>IF(B853=0,0,C853/B853)</f>
        <v/>
      </c>
      <c r="E853">
        <f>IF($A853="","",SUMIFS(Orders_Log!$I:$I,Orders_Log!$C:$C,$A853))</f>
        <v/>
      </c>
      <c r="F853">
        <f>IF(B853=0,0,E853/B853)</f>
        <v/>
      </c>
      <c r="G853">
        <f>IF($A853="","",IFERROR(AVERAGEIFS(Orders_Log!$H:$H,Orders_Log!$C:$C,$A853,Orders_Log!$H:$H,"&gt;0"),0))</f>
        <v/>
      </c>
      <c r="H853">
        <f>IF($A853="","",COUNTIFS(Orders_Log!$C:$C,$A853,Orders_Log!$P:$P,"Returned to Picker"))</f>
        <v/>
      </c>
    </row>
    <row r="854">
      <c r="B854">
        <f>IF($A854="","",COUNTIFS(Orders_Log!$C:$C,$A854,Orders_Log!$B:$B,"&lt;&gt;"))</f>
        <v/>
      </c>
      <c r="C854">
        <f>IF($A854="","",COUNTIFS(Orders_Log!$C:$C,$A854,Orders_Log!$M:$M,"Yes"))</f>
        <v/>
      </c>
      <c r="D854" s="5">
        <f>IF(B854=0,0,C854/B854)</f>
        <v/>
      </c>
      <c r="E854">
        <f>IF($A854="","",SUMIFS(Orders_Log!$I:$I,Orders_Log!$C:$C,$A854))</f>
        <v/>
      </c>
      <c r="F854">
        <f>IF(B854=0,0,E854/B854)</f>
        <v/>
      </c>
      <c r="G854">
        <f>IF($A854="","",IFERROR(AVERAGEIFS(Orders_Log!$H:$H,Orders_Log!$C:$C,$A854,Orders_Log!$H:$H,"&gt;0"),0))</f>
        <v/>
      </c>
      <c r="H854">
        <f>IF($A854="","",COUNTIFS(Orders_Log!$C:$C,$A854,Orders_Log!$P:$P,"Returned to Picker"))</f>
        <v/>
      </c>
    </row>
    <row r="855">
      <c r="B855">
        <f>IF($A855="","",COUNTIFS(Orders_Log!$C:$C,$A855,Orders_Log!$B:$B,"&lt;&gt;"))</f>
        <v/>
      </c>
      <c r="C855">
        <f>IF($A855="","",COUNTIFS(Orders_Log!$C:$C,$A855,Orders_Log!$M:$M,"Yes"))</f>
        <v/>
      </c>
      <c r="D855" s="5">
        <f>IF(B855=0,0,C855/B855)</f>
        <v/>
      </c>
      <c r="E855">
        <f>IF($A855="","",SUMIFS(Orders_Log!$I:$I,Orders_Log!$C:$C,$A855))</f>
        <v/>
      </c>
      <c r="F855">
        <f>IF(B855=0,0,E855/B855)</f>
        <v/>
      </c>
      <c r="G855">
        <f>IF($A855="","",IFERROR(AVERAGEIFS(Orders_Log!$H:$H,Orders_Log!$C:$C,$A855,Orders_Log!$H:$H,"&gt;0"),0))</f>
        <v/>
      </c>
      <c r="H855">
        <f>IF($A855="","",COUNTIFS(Orders_Log!$C:$C,$A855,Orders_Log!$P:$P,"Returned to Picker"))</f>
        <v/>
      </c>
    </row>
    <row r="856">
      <c r="B856">
        <f>IF($A856="","",COUNTIFS(Orders_Log!$C:$C,$A856,Orders_Log!$B:$B,"&lt;&gt;"))</f>
        <v/>
      </c>
      <c r="C856">
        <f>IF($A856="","",COUNTIFS(Orders_Log!$C:$C,$A856,Orders_Log!$M:$M,"Yes"))</f>
        <v/>
      </c>
      <c r="D856" s="5">
        <f>IF(B856=0,0,C856/B856)</f>
        <v/>
      </c>
      <c r="E856">
        <f>IF($A856="","",SUMIFS(Orders_Log!$I:$I,Orders_Log!$C:$C,$A856))</f>
        <v/>
      </c>
      <c r="F856">
        <f>IF(B856=0,0,E856/B856)</f>
        <v/>
      </c>
      <c r="G856">
        <f>IF($A856="","",IFERROR(AVERAGEIFS(Orders_Log!$H:$H,Orders_Log!$C:$C,$A856,Orders_Log!$H:$H,"&gt;0"),0))</f>
        <v/>
      </c>
      <c r="H856">
        <f>IF($A856="","",COUNTIFS(Orders_Log!$C:$C,$A856,Orders_Log!$P:$P,"Returned to Picker"))</f>
        <v/>
      </c>
    </row>
    <row r="857">
      <c r="B857">
        <f>IF($A857="","",COUNTIFS(Orders_Log!$C:$C,$A857,Orders_Log!$B:$B,"&lt;&gt;"))</f>
        <v/>
      </c>
      <c r="C857">
        <f>IF($A857="","",COUNTIFS(Orders_Log!$C:$C,$A857,Orders_Log!$M:$M,"Yes"))</f>
        <v/>
      </c>
      <c r="D857" s="5">
        <f>IF(B857=0,0,C857/B857)</f>
        <v/>
      </c>
      <c r="E857">
        <f>IF($A857="","",SUMIFS(Orders_Log!$I:$I,Orders_Log!$C:$C,$A857))</f>
        <v/>
      </c>
      <c r="F857">
        <f>IF(B857=0,0,E857/B857)</f>
        <v/>
      </c>
      <c r="G857">
        <f>IF($A857="","",IFERROR(AVERAGEIFS(Orders_Log!$H:$H,Orders_Log!$C:$C,$A857,Orders_Log!$H:$H,"&gt;0"),0))</f>
        <v/>
      </c>
      <c r="H857">
        <f>IF($A857="","",COUNTIFS(Orders_Log!$C:$C,$A857,Orders_Log!$P:$P,"Returned to Picker"))</f>
        <v/>
      </c>
    </row>
    <row r="858">
      <c r="B858">
        <f>IF($A858="","",COUNTIFS(Orders_Log!$C:$C,$A858,Orders_Log!$B:$B,"&lt;&gt;"))</f>
        <v/>
      </c>
      <c r="C858">
        <f>IF($A858="","",COUNTIFS(Orders_Log!$C:$C,$A858,Orders_Log!$M:$M,"Yes"))</f>
        <v/>
      </c>
      <c r="D858" s="5">
        <f>IF(B858=0,0,C858/B858)</f>
        <v/>
      </c>
      <c r="E858">
        <f>IF($A858="","",SUMIFS(Orders_Log!$I:$I,Orders_Log!$C:$C,$A858))</f>
        <v/>
      </c>
      <c r="F858">
        <f>IF(B858=0,0,E858/B858)</f>
        <v/>
      </c>
      <c r="G858">
        <f>IF($A858="","",IFERROR(AVERAGEIFS(Orders_Log!$H:$H,Orders_Log!$C:$C,$A858,Orders_Log!$H:$H,"&gt;0"),0))</f>
        <v/>
      </c>
      <c r="H858">
        <f>IF($A858="","",COUNTIFS(Orders_Log!$C:$C,$A858,Orders_Log!$P:$P,"Returned to Picker"))</f>
        <v/>
      </c>
    </row>
    <row r="859">
      <c r="B859">
        <f>IF($A859="","",COUNTIFS(Orders_Log!$C:$C,$A859,Orders_Log!$B:$B,"&lt;&gt;"))</f>
        <v/>
      </c>
      <c r="C859">
        <f>IF($A859="","",COUNTIFS(Orders_Log!$C:$C,$A859,Orders_Log!$M:$M,"Yes"))</f>
        <v/>
      </c>
      <c r="D859" s="5">
        <f>IF(B859=0,0,C859/B859)</f>
        <v/>
      </c>
      <c r="E859">
        <f>IF($A859="","",SUMIFS(Orders_Log!$I:$I,Orders_Log!$C:$C,$A859))</f>
        <v/>
      </c>
      <c r="F859">
        <f>IF(B859=0,0,E859/B859)</f>
        <v/>
      </c>
      <c r="G859">
        <f>IF($A859="","",IFERROR(AVERAGEIFS(Orders_Log!$H:$H,Orders_Log!$C:$C,$A859,Orders_Log!$H:$H,"&gt;0"),0))</f>
        <v/>
      </c>
      <c r="H859">
        <f>IF($A859="","",COUNTIFS(Orders_Log!$C:$C,$A859,Orders_Log!$P:$P,"Returned to Picker"))</f>
        <v/>
      </c>
    </row>
    <row r="860">
      <c r="B860">
        <f>IF($A860="","",COUNTIFS(Orders_Log!$C:$C,$A860,Orders_Log!$B:$B,"&lt;&gt;"))</f>
        <v/>
      </c>
      <c r="C860">
        <f>IF($A860="","",COUNTIFS(Orders_Log!$C:$C,$A860,Orders_Log!$M:$M,"Yes"))</f>
        <v/>
      </c>
      <c r="D860" s="5">
        <f>IF(B860=0,0,C860/B860)</f>
        <v/>
      </c>
      <c r="E860">
        <f>IF($A860="","",SUMIFS(Orders_Log!$I:$I,Orders_Log!$C:$C,$A860))</f>
        <v/>
      </c>
      <c r="F860">
        <f>IF(B860=0,0,E860/B860)</f>
        <v/>
      </c>
      <c r="G860">
        <f>IF($A860="","",IFERROR(AVERAGEIFS(Orders_Log!$H:$H,Orders_Log!$C:$C,$A860,Orders_Log!$H:$H,"&gt;0"),0))</f>
        <v/>
      </c>
      <c r="H860">
        <f>IF($A860="","",COUNTIFS(Orders_Log!$C:$C,$A860,Orders_Log!$P:$P,"Returned to Picker"))</f>
        <v/>
      </c>
    </row>
    <row r="861">
      <c r="B861">
        <f>IF($A861="","",COUNTIFS(Orders_Log!$C:$C,$A861,Orders_Log!$B:$B,"&lt;&gt;"))</f>
        <v/>
      </c>
      <c r="C861">
        <f>IF($A861="","",COUNTIFS(Orders_Log!$C:$C,$A861,Orders_Log!$M:$M,"Yes"))</f>
        <v/>
      </c>
      <c r="D861" s="5">
        <f>IF(B861=0,0,C861/B861)</f>
        <v/>
      </c>
      <c r="E861">
        <f>IF($A861="","",SUMIFS(Orders_Log!$I:$I,Orders_Log!$C:$C,$A861))</f>
        <v/>
      </c>
      <c r="F861">
        <f>IF(B861=0,0,E861/B861)</f>
        <v/>
      </c>
      <c r="G861">
        <f>IF($A861="","",IFERROR(AVERAGEIFS(Orders_Log!$H:$H,Orders_Log!$C:$C,$A861,Orders_Log!$H:$H,"&gt;0"),0))</f>
        <v/>
      </c>
      <c r="H861">
        <f>IF($A861="","",COUNTIFS(Orders_Log!$C:$C,$A861,Orders_Log!$P:$P,"Returned to Picker"))</f>
        <v/>
      </c>
    </row>
    <row r="862">
      <c r="B862">
        <f>IF($A862="","",COUNTIFS(Orders_Log!$C:$C,$A862,Orders_Log!$B:$B,"&lt;&gt;"))</f>
        <v/>
      </c>
      <c r="C862">
        <f>IF($A862="","",COUNTIFS(Orders_Log!$C:$C,$A862,Orders_Log!$M:$M,"Yes"))</f>
        <v/>
      </c>
      <c r="D862" s="5">
        <f>IF(B862=0,0,C862/B862)</f>
        <v/>
      </c>
      <c r="E862">
        <f>IF($A862="","",SUMIFS(Orders_Log!$I:$I,Orders_Log!$C:$C,$A862))</f>
        <v/>
      </c>
      <c r="F862">
        <f>IF(B862=0,0,E862/B862)</f>
        <v/>
      </c>
      <c r="G862">
        <f>IF($A862="","",IFERROR(AVERAGEIFS(Orders_Log!$H:$H,Orders_Log!$C:$C,$A862,Orders_Log!$H:$H,"&gt;0"),0))</f>
        <v/>
      </c>
      <c r="H862">
        <f>IF($A862="","",COUNTIFS(Orders_Log!$C:$C,$A862,Orders_Log!$P:$P,"Returned to Picker"))</f>
        <v/>
      </c>
    </row>
    <row r="863">
      <c r="B863">
        <f>IF($A863="","",COUNTIFS(Orders_Log!$C:$C,$A863,Orders_Log!$B:$B,"&lt;&gt;"))</f>
        <v/>
      </c>
      <c r="C863">
        <f>IF($A863="","",COUNTIFS(Orders_Log!$C:$C,$A863,Orders_Log!$M:$M,"Yes"))</f>
        <v/>
      </c>
      <c r="D863" s="5">
        <f>IF(B863=0,0,C863/B863)</f>
        <v/>
      </c>
      <c r="E863">
        <f>IF($A863="","",SUMIFS(Orders_Log!$I:$I,Orders_Log!$C:$C,$A863))</f>
        <v/>
      </c>
      <c r="F863">
        <f>IF(B863=0,0,E863/B863)</f>
        <v/>
      </c>
      <c r="G863">
        <f>IF($A863="","",IFERROR(AVERAGEIFS(Orders_Log!$H:$H,Orders_Log!$C:$C,$A863,Orders_Log!$H:$H,"&gt;0"),0))</f>
        <v/>
      </c>
      <c r="H863">
        <f>IF($A863="","",COUNTIFS(Orders_Log!$C:$C,$A863,Orders_Log!$P:$P,"Returned to Picker"))</f>
        <v/>
      </c>
    </row>
    <row r="864">
      <c r="B864">
        <f>IF($A864="","",COUNTIFS(Orders_Log!$C:$C,$A864,Orders_Log!$B:$B,"&lt;&gt;"))</f>
        <v/>
      </c>
      <c r="C864">
        <f>IF($A864="","",COUNTIFS(Orders_Log!$C:$C,$A864,Orders_Log!$M:$M,"Yes"))</f>
        <v/>
      </c>
      <c r="D864" s="5">
        <f>IF(B864=0,0,C864/B864)</f>
        <v/>
      </c>
      <c r="E864">
        <f>IF($A864="","",SUMIFS(Orders_Log!$I:$I,Orders_Log!$C:$C,$A864))</f>
        <v/>
      </c>
      <c r="F864">
        <f>IF(B864=0,0,E864/B864)</f>
        <v/>
      </c>
      <c r="G864">
        <f>IF($A864="","",IFERROR(AVERAGEIFS(Orders_Log!$H:$H,Orders_Log!$C:$C,$A864,Orders_Log!$H:$H,"&gt;0"),0))</f>
        <v/>
      </c>
      <c r="H864">
        <f>IF($A864="","",COUNTIFS(Orders_Log!$C:$C,$A864,Orders_Log!$P:$P,"Returned to Picker"))</f>
        <v/>
      </c>
    </row>
    <row r="865">
      <c r="B865">
        <f>IF($A865="","",COUNTIFS(Orders_Log!$C:$C,$A865,Orders_Log!$B:$B,"&lt;&gt;"))</f>
        <v/>
      </c>
      <c r="C865">
        <f>IF($A865="","",COUNTIFS(Orders_Log!$C:$C,$A865,Orders_Log!$M:$M,"Yes"))</f>
        <v/>
      </c>
      <c r="D865" s="5">
        <f>IF(B865=0,0,C865/B865)</f>
        <v/>
      </c>
      <c r="E865">
        <f>IF($A865="","",SUMIFS(Orders_Log!$I:$I,Orders_Log!$C:$C,$A865))</f>
        <v/>
      </c>
      <c r="F865">
        <f>IF(B865=0,0,E865/B865)</f>
        <v/>
      </c>
      <c r="G865">
        <f>IF($A865="","",IFERROR(AVERAGEIFS(Orders_Log!$H:$H,Orders_Log!$C:$C,$A865,Orders_Log!$H:$H,"&gt;0"),0))</f>
        <v/>
      </c>
      <c r="H865">
        <f>IF($A865="","",COUNTIFS(Orders_Log!$C:$C,$A865,Orders_Log!$P:$P,"Returned to Picker"))</f>
        <v/>
      </c>
    </row>
    <row r="866">
      <c r="B866">
        <f>IF($A866="","",COUNTIFS(Orders_Log!$C:$C,$A866,Orders_Log!$B:$B,"&lt;&gt;"))</f>
        <v/>
      </c>
      <c r="C866">
        <f>IF($A866="","",COUNTIFS(Orders_Log!$C:$C,$A866,Orders_Log!$M:$M,"Yes"))</f>
        <v/>
      </c>
      <c r="D866" s="5">
        <f>IF(B866=0,0,C866/B866)</f>
        <v/>
      </c>
      <c r="E866">
        <f>IF($A866="","",SUMIFS(Orders_Log!$I:$I,Orders_Log!$C:$C,$A866))</f>
        <v/>
      </c>
      <c r="F866">
        <f>IF(B866=0,0,E866/B866)</f>
        <v/>
      </c>
      <c r="G866">
        <f>IF($A866="","",IFERROR(AVERAGEIFS(Orders_Log!$H:$H,Orders_Log!$C:$C,$A866,Orders_Log!$H:$H,"&gt;0"),0))</f>
        <v/>
      </c>
      <c r="H866">
        <f>IF($A866="","",COUNTIFS(Orders_Log!$C:$C,$A866,Orders_Log!$P:$P,"Returned to Picker"))</f>
        <v/>
      </c>
    </row>
    <row r="867">
      <c r="B867">
        <f>IF($A867="","",COUNTIFS(Orders_Log!$C:$C,$A867,Orders_Log!$B:$B,"&lt;&gt;"))</f>
        <v/>
      </c>
      <c r="C867">
        <f>IF($A867="","",COUNTIFS(Orders_Log!$C:$C,$A867,Orders_Log!$M:$M,"Yes"))</f>
        <v/>
      </c>
      <c r="D867" s="5">
        <f>IF(B867=0,0,C867/B867)</f>
        <v/>
      </c>
      <c r="E867">
        <f>IF($A867="","",SUMIFS(Orders_Log!$I:$I,Orders_Log!$C:$C,$A867))</f>
        <v/>
      </c>
      <c r="F867">
        <f>IF(B867=0,0,E867/B867)</f>
        <v/>
      </c>
      <c r="G867">
        <f>IF($A867="","",IFERROR(AVERAGEIFS(Orders_Log!$H:$H,Orders_Log!$C:$C,$A867,Orders_Log!$H:$H,"&gt;0"),0))</f>
        <v/>
      </c>
      <c r="H867">
        <f>IF($A867="","",COUNTIFS(Orders_Log!$C:$C,$A867,Orders_Log!$P:$P,"Returned to Picker"))</f>
        <v/>
      </c>
    </row>
    <row r="868">
      <c r="B868">
        <f>IF($A868="","",COUNTIFS(Orders_Log!$C:$C,$A868,Orders_Log!$B:$B,"&lt;&gt;"))</f>
        <v/>
      </c>
      <c r="C868">
        <f>IF($A868="","",COUNTIFS(Orders_Log!$C:$C,$A868,Orders_Log!$M:$M,"Yes"))</f>
        <v/>
      </c>
      <c r="D868" s="5">
        <f>IF(B868=0,0,C868/B868)</f>
        <v/>
      </c>
      <c r="E868">
        <f>IF($A868="","",SUMIFS(Orders_Log!$I:$I,Orders_Log!$C:$C,$A868))</f>
        <v/>
      </c>
      <c r="F868">
        <f>IF(B868=0,0,E868/B868)</f>
        <v/>
      </c>
      <c r="G868">
        <f>IF($A868="","",IFERROR(AVERAGEIFS(Orders_Log!$H:$H,Orders_Log!$C:$C,$A868,Orders_Log!$H:$H,"&gt;0"),0))</f>
        <v/>
      </c>
      <c r="H868">
        <f>IF($A868="","",COUNTIFS(Orders_Log!$C:$C,$A868,Orders_Log!$P:$P,"Returned to Picker"))</f>
        <v/>
      </c>
    </row>
    <row r="869">
      <c r="B869">
        <f>IF($A869="","",COUNTIFS(Orders_Log!$C:$C,$A869,Orders_Log!$B:$B,"&lt;&gt;"))</f>
        <v/>
      </c>
      <c r="C869">
        <f>IF($A869="","",COUNTIFS(Orders_Log!$C:$C,$A869,Orders_Log!$M:$M,"Yes"))</f>
        <v/>
      </c>
      <c r="D869" s="5">
        <f>IF(B869=0,0,C869/B869)</f>
        <v/>
      </c>
      <c r="E869">
        <f>IF($A869="","",SUMIFS(Orders_Log!$I:$I,Orders_Log!$C:$C,$A869))</f>
        <v/>
      </c>
      <c r="F869">
        <f>IF(B869=0,0,E869/B869)</f>
        <v/>
      </c>
      <c r="G869">
        <f>IF($A869="","",IFERROR(AVERAGEIFS(Orders_Log!$H:$H,Orders_Log!$C:$C,$A869,Orders_Log!$H:$H,"&gt;0"),0))</f>
        <v/>
      </c>
      <c r="H869">
        <f>IF($A869="","",COUNTIFS(Orders_Log!$C:$C,$A869,Orders_Log!$P:$P,"Returned to Picker"))</f>
        <v/>
      </c>
    </row>
    <row r="870">
      <c r="B870">
        <f>IF($A870="","",COUNTIFS(Orders_Log!$C:$C,$A870,Orders_Log!$B:$B,"&lt;&gt;"))</f>
        <v/>
      </c>
      <c r="C870">
        <f>IF($A870="","",COUNTIFS(Orders_Log!$C:$C,$A870,Orders_Log!$M:$M,"Yes"))</f>
        <v/>
      </c>
      <c r="D870" s="5">
        <f>IF(B870=0,0,C870/B870)</f>
        <v/>
      </c>
      <c r="E870">
        <f>IF($A870="","",SUMIFS(Orders_Log!$I:$I,Orders_Log!$C:$C,$A870))</f>
        <v/>
      </c>
      <c r="F870">
        <f>IF(B870=0,0,E870/B870)</f>
        <v/>
      </c>
      <c r="G870">
        <f>IF($A870="","",IFERROR(AVERAGEIFS(Orders_Log!$H:$H,Orders_Log!$C:$C,$A870,Orders_Log!$H:$H,"&gt;0"),0))</f>
        <v/>
      </c>
      <c r="H870">
        <f>IF($A870="","",COUNTIFS(Orders_Log!$C:$C,$A870,Orders_Log!$P:$P,"Returned to Picker"))</f>
        <v/>
      </c>
    </row>
    <row r="871">
      <c r="B871">
        <f>IF($A871="","",COUNTIFS(Orders_Log!$C:$C,$A871,Orders_Log!$B:$B,"&lt;&gt;"))</f>
        <v/>
      </c>
      <c r="C871">
        <f>IF($A871="","",COUNTIFS(Orders_Log!$C:$C,$A871,Orders_Log!$M:$M,"Yes"))</f>
        <v/>
      </c>
      <c r="D871" s="5">
        <f>IF(B871=0,0,C871/B871)</f>
        <v/>
      </c>
      <c r="E871">
        <f>IF($A871="","",SUMIFS(Orders_Log!$I:$I,Orders_Log!$C:$C,$A871))</f>
        <v/>
      </c>
      <c r="F871">
        <f>IF(B871=0,0,E871/B871)</f>
        <v/>
      </c>
      <c r="G871">
        <f>IF($A871="","",IFERROR(AVERAGEIFS(Orders_Log!$H:$H,Orders_Log!$C:$C,$A871,Orders_Log!$H:$H,"&gt;0"),0))</f>
        <v/>
      </c>
      <c r="H871">
        <f>IF($A871="","",COUNTIFS(Orders_Log!$C:$C,$A871,Orders_Log!$P:$P,"Returned to Picker"))</f>
        <v/>
      </c>
    </row>
    <row r="872">
      <c r="B872">
        <f>IF($A872="","",COUNTIFS(Orders_Log!$C:$C,$A872,Orders_Log!$B:$B,"&lt;&gt;"))</f>
        <v/>
      </c>
      <c r="C872">
        <f>IF($A872="","",COUNTIFS(Orders_Log!$C:$C,$A872,Orders_Log!$M:$M,"Yes"))</f>
        <v/>
      </c>
      <c r="D872" s="5">
        <f>IF(B872=0,0,C872/B872)</f>
        <v/>
      </c>
      <c r="E872">
        <f>IF($A872="","",SUMIFS(Orders_Log!$I:$I,Orders_Log!$C:$C,$A872))</f>
        <v/>
      </c>
      <c r="F872">
        <f>IF(B872=0,0,E872/B872)</f>
        <v/>
      </c>
      <c r="G872">
        <f>IF($A872="","",IFERROR(AVERAGEIFS(Orders_Log!$H:$H,Orders_Log!$C:$C,$A872,Orders_Log!$H:$H,"&gt;0"),0))</f>
        <v/>
      </c>
      <c r="H872">
        <f>IF($A872="","",COUNTIFS(Orders_Log!$C:$C,$A872,Orders_Log!$P:$P,"Returned to Picker"))</f>
        <v/>
      </c>
    </row>
    <row r="873">
      <c r="B873">
        <f>IF($A873="","",COUNTIFS(Orders_Log!$C:$C,$A873,Orders_Log!$B:$B,"&lt;&gt;"))</f>
        <v/>
      </c>
      <c r="C873">
        <f>IF($A873="","",COUNTIFS(Orders_Log!$C:$C,$A873,Orders_Log!$M:$M,"Yes"))</f>
        <v/>
      </c>
      <c r="D873" s="5">
        <f>IF(B873=0,0,C873/B873)</f>
        <v/>
      </c>
      <c r="E873">
        <f>IF($A873="","",SUMIFS(Orders_Log!$I:$I,Orders_Log!$C:$C,$A873))</f>
        <v/>
      </c>
      <c r="F873">
        <f>IF(B873=0,0,E873/B873)</f>
        <v/>
      </c>
      <c r="G873">
        <f>IF($A873="","",IFERROR(AVERAGEIFS(Orders_Log!$H:$H,Orders_Log!$C:$C,$A873,Orders_Log!$H:$H,"&gt;0"),0))</f>
        <v/>
      </c>
      <c r="H873">
        <f>IF($A873="","",COUNTIFS(Orders_Log!$C:$C,$A873,Orders_Log!$P:$P,"Returned to Picker"))</f>
        <v/>
      </c>
    </row>
    <row r="874">
      <c r="B874">
        <f>IF($A874="","",COUNTIFS(Orders_Log!$C:$C,$A874,Orders_Log!$B:$B,"&lt;&gt;"))</f>
        <v/>
      </c>
      <c r="C874">
        <f>IF($A874="","",COUNTIFS(Orders_Log!$C:$C,$A874,Orders_Log!$M:$M,"Yes"))</f>
        <v/>
      </c>
      <c r="D874" s="5">
        <f>IF(B874=0,0,C874/B874)</f>
        <v/>
      </c>
      <c r="E874">
        <f>IF($A874="","",SUMIFS(Orders_Log!$I:$I,Orders_Log!$C:$C,$A874))</f>
        <v/>
      </c>
      <c r="F874">
        <f>IF(B874=0,0,E874/B874)</f>
        <v/>
      </c>
      <c r="G874">
        <f>IF($A874="","",IFERROR(AVERAGEIFS(Orders_Log!$H:$H,Orders_Log!$C:$C,$A874,Orders_Log!$H:$H,"&gt;0"),0))</f>
        <v/>
      </c>
      <c r="H874">
        <f>IF($A874="","",COUNTIFS(Orders_Log!$C:$C,$A874,Orders_Log!$P:$P,"Returned to Picker"))</f>
        <v/>
      </c>
    </row>
    <row r="875">
      <c r="B875">
        <f>IF($A875="","",COUNTIFS(Orders_Log!$C:$C,$A875,Orders_Log!$B:$B,"&lt;&gt;"))</f>
        <v/>
      </c>
      <c r="C875">
        <f>IF($A875="","",COUNTIFS(Orders_Log!$C:$C,$A875,Orders_Log!$M:$M,"Yes"))</f>
        <v/>
      </c>
      <c r="D875" s="5">
        <f>IF(B875=0,0,C875/B875)</f>
        <v/>
      </c>
      <c r="E875">
        <f>IF($A875="","",SUMIFS(Orders_Log!$I:$I,Orders_Log!$C:$C,$A875))</f>
        <v/>
      </c>
      <c r="F875">
        <f>IF(B875=0,0,E875/B875)</f>
        <v/>
      </c>
      <c r="G875">
        <f>IF($A875="","",IFERROR(AVERAGEIFS(Orders_Log!$H:$H,Orders_Log!$C:$C,$A875,Orders_Log!$H:$H,"&gt;0"),0))</f>
        <v/>
      </c>
      <c r="H875">
        <f>IF($A875="","",COUNTIFS(Orders_Log!$C:$C,$A875,Orders_Log!$P:$P,"Returned to Picker"))</f>
        <v/>
      </c>
    </row>
    <row r="876">
      <c r="B876">
        <f>IF($A876="","",COUNTIFS(Orders_Log!$C:$C,$A876,Orders_Log!$B:$B,"&lt;&gt;"))</f>
        <v/>
      </c>
      <c r="C876">
        <f>IF($A876="","",COUNTIFS(Orders_Log!$C:$C,$A876,Orders_Log!$M:$M,"Yes"))</f>
        <v/>
      </c>
      <c r="D876" s="5">
        <f>IF(B876=0,0,C876/B876)</f>
        <v/>
      </c>
      <c r="E876">
        <f>IF($A876="","",SUMIFS(Orders_Log!$I:$I,Orders_Log!$C:$C,$A876))</f>
        <v/>
      </c>
      <c r="F876">
        <f>IF(B876=0,0,E876/B876)</f>
        <v/>
      </c>
      <c r="G876">
        <f>IF($A876="","",IFERROR(AVERAGEIFS(Orders_Log!$H:$H,Orders_Log!$C:$C,$A876,Orders_Log!$H:$H,"&gt;0"),0))</f>
        <v/>
      </c>
      <c r="H876">
        <f>IF($A876="","",COUNTIFS(Orders_Log!$C:$C,$A876,Orders_Log!$P:$P,"Returned to Picker"))</f>
        <v/>
      </c>
    </row>
    <row r="877">
      <c r="B877">
        <f>IF($A877="","",COUNTIFS(Orders_Log!$C:$C,$A877,Orders_Log!$B:$B,"&lt;&gt;"))</f>
        <v/>
      </c>
      <c r="C877">
        <f>IF($A877="","",COUNTIFS(Orders_Log!$C:$C,$A877,Orders_Log!$M:$M,"Yes"))</f>
        <v/>
      </c>
      <c r="D877" s="5">
        <f>IF(B877=0,0,C877/B877)</f>
        <v/>
      </c>
      <c r="E877">
        <f>IF($A877="","",SUMIFS(Orders_Log!$I:$I,Orders_Log!$C:$C,$A877))</f>
        <v/>
      </c>
      <c r="F877">
        <f>IF(B877=0,0,E877/B877)</f>
        <v/>
      </c>
      <c r="G877">
        <f>IF($A877="","",IFERROR(AVERAGEIFS(Orders_Log!$H:$H,Orders_Log!$C:$C,$A877,Orders_Log!$H:$H,"&gt;0"),0))</f>
        <v/>
      </c>
      <c r="H877">
        <f>IF($A877="","",COUNTIFS(Orders_Log!$C:$C,$A877,Orders_Log!$P:$P,"Returned to Picker"))</f>
        <v/>
      </c>
    </row>
    <row r="878">
      <c r="B878">
        <f>IF($A878="","",COUNTIFS(Orders_Log!$C:$C,$A878,Orders_Log!$B:$B,"&lt;&gt;"))</f>
        <v/>
      </c>
      <c r="C878">
        <f>IF($A878="","",COUNTIFS(Orders_Log!$C:$C,$A878,Orders_Log!$M:$M,"Yes"))</f>
        <v/>
      </c>
      <c r="D878" s="5">
        <f>IF(B878=0,0,C878/B878)</f>
        <v/>
      </c>
      <c r="E878">
        <f>IF($A878="","",SUMIFS(Orders_Log!$I:$I,Orders_Log!$C:$C,$A878))</f>
        <v/>
      </c>
      <c r="F878">
        <f>IF(B878=0,0,E878/B878)</f>
        <v/>
      </c>
      <c r="G878">
        <f>IF($A878="","",IFERROR(AVERAGEIFS(Orders_Log!$H:$H,Orders_Log!$C:$C,$A878,Orders_Log!$H:$H,"&gt;0"),0))</f>
        <v/>
      </c>
      <c r="H878">
        <f>IF($A878="","",COUNTIFS(Orders_Log!$C:$C,$A878,Orders_Log!$P:$P,"Returned to Picker"))</f>
        <v/>
      </c>
    </row>
    <row r="879">
      <c r="B879">
        <f>IF($A879="","",COUNTIFS(Orders_Log!$C:$C,$A879,Orders_Log!$B:$B,"&lt;&gt;"))</f>
        <v/>
      </c>
      <c r="C879">
        <f>IF($A879="","",COUNTIFS(Orders_Log!$C:$C,$A879,Orders_Log!$M:$M,"Yes"))</f>
        <v/>
      </c>
      <c r="D879" s="5">
        <f>IF(B879=0,0,C879/B879)</f>
        <v/>
      </c>
      <c r="E879">
        <f>IF($A879="","",SUMIFS(Orders_Log!$I:$I,Orders_Log!$C:$C,$A879))</f>
        <v/>
      </c>
      <c r="F879">
        <f>IF(B879=0,0,E879/B879)</f>
        <v/>
      </c>
      <c r="G879">
        <f>IF($A879="","",IFERROR(AVERAGEIFS(Orders_Log!$H:$H,Orders_Log!$C:$C,$A879,Orders_Log!$H:$H,"&gt;0"),0))</f>
        <v/>
      </c>
      <c r="H879">
        <f>IF($A879="","",COUNTIFS(Orders_Log!$C:$C,$A879,Orders_Log!$P:$P,"Returned to Picker"))</f>
        <v/>
      </c>
    </row>
    <row r="880">
      <c r="B880">
        <f>IF($A880="","",COUNTIFS(Orders_Log!$C:$C,$A880,Orders_Log!$B:$B,"&lt;&gt;"))</f>
        <v/>
      </c>
      <c r="C880">
        <f>IF($A880="","",COUNTIFS(Orders_Log!$C:$C,$A880,Orders_Log!$M:$M,"Yes"))</f>
        <v/>
      </c>
      <c r="D880" s="5">
        <f>IF(B880=0,0,C880/B880)</f>
        <v/>
      </c>
      <c r="E880">
        <f>IF($A880="","",SUMIFS(Orders_Log!$I:$I,Orders_Log!$C:$C,$A880))</f>
        <v/>
      </c>
      <c r="F880">
        <f>IF(B880=0,0,E880/B880)</f>
        <v/>
      </c>
      <c r="G880">
        <f>IF($A880="","",IFERROR(AVERAGEIFS(Orders_Log!$H:$H,Orders_Log!$C:$C,$A880,Orders_Log!$H:$H,"&gt;0"),0))</f>
        <v/>
      </c>
      <c r="H880">
        <f>IF($A880="","",COUNTIFS(Orders_Log!$C:$C,$A880,Orders_Log!$P:$P,"Returned to Picker"))</f>
        <v/>
      </c>
    </row>
    <row r="881">
      <c r="B881">
        <f>IF($A881="","",COUNTIFS(Orders_Log!$C:$C,$A881,Orders_Log!$B:$B,"&lt;&gt;"))</f>
        <v/>
      </c>
      <c r="C881">
        <f>IF($A881="","",COUNTIFS(Orders_Log!$C:$C,$A881,Orders_Log!$M:$M,"Yes"))</f>
        <v/>
      </c>
      <c r="D881" s="5">
        <f>IF(B881=0,0,C881/B881)</f>
        <v/>
      </c>
      <c r="E881">
        <f>IF($A881="","",SUMIFS(Orders_Log!$I:$I,Orders_Log!$C:$C,$A881))</f>
        <v/>
      </c>
      <c r="F881">
        <f>IF(B881=0,0,E881/B881)</f>
        <v/>
      </c>
      <c r="G881">
        <f>IF($A881="","",IFERROR(AVERAGEIFS(Orders_Log!$H:$H,Orders_Log!$C:$C,$A881,Orders_Log!$H:$H,"&gt;0"),0))</f>
        <v/>
      </c>
      <c r="H881">
        <f>IF($A881="","",COUNTIFS(Orders_Log!$C:$C,$A881,Orders_Log!$P:$P,"Returned to Picker"))</f>
        <v/>
      </c>
    </row>
    <row r="882">
      <c r="B882">
        <f>IF($A882="","",COUNTIFS(Orders_Log!$C:$C,$A882,Orders_Log!$B:$B,"&lt;&gt;"))</f>
        <v/>
      </c>
      <c r="C882">
        <f>IF($A882="","",COUNTIFS(Orders_Log!$C:$C,$A882,Orders_Log!$M:$M,"Yes"))</f>
        <v/>
      </c>
      <c r="D882" s="5">
        <f>IF(B882=0,0,C882/B882)</f>
        <v/>
      </c>
      <c r="E882">
        <f>IF($A882="","",SUMIFS(Orders_Log!$I:$I,Orders_Log!$C:$C,$A882))</f>
        <v/>
      </c>
      <c r="F882">
        <f>IF(B882=0,0,E882/B882)</f>
        <v/>
      </c>
      <c r="G882">
        <f>IF($A882="","",IFERROR(AVERAGEIFS(Orders_Log!$H:$H,Orders_Log!$C:$C,$A882,Orders_Log!$H:$H,"&gt;0"),0))</f>
        <v/>
      </c>
      <c r="H882">
        <f>IF($A882="","",COUNTIFS(Orders_Log!$C:$C,$A882,Orders_Log!$P:$P,"Returned to Picker"))</f>
        <v/>
      </c>
    </row>
    <row r="883">
      <c r="B883">
        <f>IF($A883="","",COUNTIFS(Orders_Log!$C:$C,$A883,Orders_Log!$B:$B,"&lt;&gt;"))</f>
        <v/>
      </c>
      <c r="C883">
        <f>IF($A883="","",COUNTIFS(Orders_Log!$C:$C,$A883,Orders_Log!$M:$M,"Yes"))</f>
        <v/>
      </c>
      <c r="D883" s="5">
        <f>IF(B883=0,0,C883/B883)</f>
        <v/>
      </c>
      <c r="E883">
        <f>IF($A883="","",SUMIFS(Orders_Log!$I:$I,Orders_Log!$C:$C,$A883))</f>
        <v/>
      </c>
      <c r="F883">
        <f>IF(B883=0,0,E883/B883)</f>
        <v/>
      </c>
      <c r="G883">
        <f>IF($A883="","",IFERROR(AVERAGEIFS(Orders_Log!$H:$H,Orders_Log!$C:$C,$A883,Orders_Log!$H:$H,"&gt;0"),0))</f>
        <v/>
      </c>
      <c r="H883">
        <f>IF($A883="","",COUNTIFS(Orders_Log!$C:$C,$A883,Orders_Log!$P:$P,"Returned to Picker"))</f>
        <v/>
      </c>
    </row>
    <row r="884">
      <c r="B884">
        <f>IF($A884="","",COUNTIFS(Orders_Log!$C:$C,$A884,Orders_Log!$B:$B,"&lt;&gt;"))</f>
        <v/>
      </c>
      <c r="C884">
        <f>IF($A884="","",COUNTIFS(Orders_Log!$C:$C,$A884,Orders_Log!$M:$M,"Yes"))</f>
        <v/>
      </c>
      <c r="D884" s="5">
        <f>IF(B884=0,0,C884/B884)</f>
        <v/>
      </c>
      <c r="E884">
        <f>IF($A884="","",SUMIFS(Orders_Log!$I:$I,Orders_Log!$C:$C,$A884))</f>
        <v/>
      </c>
      <c r="F884">
        <f>IF(B884=0,0,E884/B884)</f>
        <v/>
      </c>
      <c r="G884">
        <f>IF($A884="","",IFERROR(AVERAGEIFS(Orders_Log!$H:$H,Orders_Log!$C:$C,$A884,Orders_Log!$H:$H,"&gt;0"),0))</f>
        <v/>
      </c>
      <c r="H884">
        <f>IF($A884="","",COUNTIFS(Orders_Log!$C:$C,$A884,Orders_Log!$P:$P,"Returned to Picker"))</f>
        <v/>
      </c>
    </row>
    <row r="885">
      <c r="B885">
        <f>IF($A885="","",COUNTIFS(Orders_Log!$C:$C,$A885,Orders_Log!$B:$B,"&lt;&gt;"))</f>
        <v/>
      </c>
      <c r="C885">
        <f>IF($A885="","",COUNTIFS(Orders_Log!$C:$C,$A885,Orders_Log!$M:$M,"Yes"))</f>
        <v/>
      </c>
      <c r="D885" s="5">
        <f>IF(B885=0,0,C885/B885)</f>
        <v/>
      </c>
      <c r="E885">
        <f>IF($A885="","",SUMIFS(Orders_Log!$I:$I,Orders_Log!$C:$C,$A885))</f>
        <v/>
      </c>
      <c r="F885">
        <f>IF(B885=0,0,E885/B885)</f>
        <v/>
      </c>
      <c r="G885">
        <f>IF($A885="","",IFERROR(AVERAGEIFS(Orders_Log!$H:$H,Orders_Log!$C:$C,$A885,Orders_Log!$H:$H,"&gt;0"),0))</f>
        <v/>
      </c>
      <c r="H885">
        <f>IF($A885="","",COUNTIFS(Orders_Log!$C:$C,$A885,Orders_Log!$P:$P,"Returned to Picker"))</f>
        <v/>
      </c>
    </row>
    <row r="886">
      <c r="B886">
        <f>IF($A886="","",COUNTIFS(Orders_Log!$C:$C,$A886,Orders_Log!$B:$B,"&lt;&gt;"))</f>
        <v/>
      </c>
      <c r="C886">
        <f>IF($A886="","",COUNTIFS(Orders_Log!$C:$C,$A886,Orders_Log!$M:$M,"Yes"))</f>
        <v/>
      </c>
      <c r="D886" s="5">
        <f>IF(B886=0,0,C886/B886)</f>
        <v/>
      </c>
      <c r="E886">
        <f>IF($A886="","",SUMIFS(Orders_Log!$I:$I,Orders_Log!$C:$C,$A886))</f>
        <v/>
      </c>
      <c r="F886">
        <f>IF(B886=0,0,E886/B886)</f>
        <v/>
      </c>
      <c r="G886">
        <f>IF($A886="","",IFERROR(AVERAGEIFS(Orders_Log!$H:$H,Orders_Log!$C:$C,$A886,Orders_Log!$H:$H,"&gt;0"),0))</f>
        <v/>
      </c>
      <c r="H886">
        <f>IF($A886="","",COUNTIFS(Orders_Log!$C:$C,$A886,Orders_Log!$P:$P,"Returned to Picker"))</f>
        <v/>
      </c>
    </row>
    <row r="887">
      <c r="B887">
        <f>IF($A887="","",COUNTIFS(Orders_Log!$C:$C,$A887,Orders_Log!$B:$B,"&lt;&gt;"))</f>
        <v/>
      </c>
      <c r="C887">
        <f>IF($A887="","",COUNTIFS(Orders_Log!$C:$C,$A887,Orders_Log!$M:$M,"Yes"))</f>
        <v/>
      </c>
      <c r="D887" s="5">
        <f>IF(B887=0,0,C887/B887)</f>
        <v/>
      </c>
      <c r="E887">
        <f>IF($A887="","",SUMIFS(Orders_Log!$I:$I,Orders_Log!$C:$C,$A887))</f>
        <v/>
      </c>
      <c r="F887">
        <f>IF(B887=0,0,E887/B887)</f>
        <v/>
      </c>
      <c r="G887">
        <f>IF($A887="","",IFERROR(AVERAGEIFS(Orders_Log!$H:$H,Orders_Log!$C:$C,$A887,Orders_Log!$H:$H,"&gt;0"),0))</f>
        <v/>
      </c>
      <c r="H887">
        <f>IF($A887="","",COUNTIFS(Orders_Log!$C:$C,$A887,Orders_Log!$P:$P,"Returned to Picker"))</f>
        <v/>
      </c>
    </row>
    <row r="888">
      <c r="B888">
        <f>IF($A888="","",COUNTIFS(Orders_Log!$C:$C,$A888,Orders_Log!$B:$B,"&lt;&gt;"))</f>
        <v/>
      </c>
      <c r="C888">
        <f>IF($A888="","",COUNTIFS(Orders_Log!$C:$C,$A888,Orders_Log!$M:$M,"Yes"))</f>
        <v/>
      </c>
      <c r="D888" s="5">
        <f>IF(B888=0,0,C888/B888)</f>
        <v/>
      </c>
      <c r="E888">
        <f>IF($A888="","",SUMIFS(Orders_Log!$I:$I,Orders_Log!$C:$C,$A888))</f>
        <v/>
      </c>
      <c r="F888">
        <f>IF(B888=0,0,E888/B888)</f>
        <v/>
      </c>
      <c r="G888">
        <f>IF($A888="","",IFERROR(AVERAGEIFS(Orders_Log!$H:$H,Orders_Log!$C:$C,$A888,Orders_Log!$H:$H,"&gt;0"),0))</f>
        <v/>
      </c>
      <c r="H888">
        <f>IF($A888="","",COUNTIFS(Orders_Log!$C:$C,$A888,Orders_Log!$P:$P,"Returned to Picker"))</f>
        <v/>
      </c>
    </row>
    <row r="889">
      <c r="B889">
        <f>IF($A889="","",COUNTIFS(Orders_Log!$C:$C,$A889,Orders_Log!$B:$B,"&lt;&gt;"))</f>
        <v/>
      </c>
      <c r="C889">
        <f>IF($A889="","",COUNTIFS(Orders_Log!$C:$C,$A889,Orders_Log!$M:$M,"Yes"))</f>
        <v/>
      </c>
      <c r="D889" s="5">
        <f>IF(B889=0,0,C889/B889)</f>
        <v/>
      </c>
      <c r="E889">
        <f>IF($A889="","",SUMIFS(Orders_Log!$I:$I,Orders_Log!$C:$C,$A889))</f>
        <v/>
      </c>
      <c r="F889">
        <f>IF(B889=0,0,E889/B889)</f>
        <v/>
      </c>
      <c r="G889">
        <f>IF($A889="","",IFERROR(AVERAGEIFS(Orders_Log!$H:$H,Orders_Log!$C:$C,$A889,Orders_Log!$H:$H,"&gt;0"),0))</f>
        <v/>
      </c>
      <c r="H889">
        <f>IF($A889="","",COUNTIFS(Orders_Log!$C:$C,$A889,Orders_Log!$P:$P,"Returned to Picker"))</f>
        <v/>
      </c>
    </row>
    <row r="890">
      <c r="B890">
        <f>IF($A890="","",COUNTIFS(Orders_Log!$C:$C,$A890,Orders_Log!$B:$B,"&lt;&gt;"))</f>
        <v/>
      </c>
      <c r="C890">
        <f>IF($A890="","",COUNTIFS(Orders_Log!$C:$C,$A890,Orders_Log!$M:$M,"Yes"))</f>
        <v/>
      </c>
      <c r="D890" s="5">
        <f>IF(B890=0,0,C890/B890)</f>
        <v/>
      </c>
      <c r="E890">
        <f>IF($A890="","",SUMIFS(Orders_Log!$I:$I,Orders_Log!$C:$C,$A890))</f>
        <v/>
      </c>
      <c r="F890">
        <f>IF(B890=0,0,E890/B890)</f>
        <v/>
      </c>
      <c r="G890">
        <f>IF($A890="","",IFERROR(AVERAGEIFS(Orders_Log!$H:$H,Orders_Log!$C:$C,$A890,Orders_Log!$H:$H,"&gt;0"),0))</f>
        <v/>
      </c>
      <c r="H890">
        <f>IF($A890="","",COUNTIFS(Orders_Log!$C:$C,$A890,Orders_Log!$P:$P,"Returned to Picker"))</f>
        <v/>
      </c>
    </row>
    <row r="891">
      <c r="B891">
        <f>IF($A891="","",COUNTIFS(Orders_Log!$C:$C,$A891,Orders_Log!$B:$B,"&lt;&gt;"))</f>
        <v/>
      </c>
      <c r="C891">
        <f>IF($A891="","",COUNTIFS(Orders_Log!$C:$C,$A891,Orders_Log!$M:$M,"Yes"))</f>
        <v/>
      </c>
      <c r="D891" s="5">
        <f>IF(B891=0,0,C891/B891)</f>
        <v/>
      </c>
      <c r="E891">
        <f>IF($A891="","",SUMIFS(Orders_Log!$I:$I,Orders_Log!$C:$C,$A891))</f>
        <v/>
      </c>
      <c r="F891">
        <f>IF(B891=0,0,E891/B891)</f>
        <v/>
      </c>
      <c r="G891">
        <f>IF($A891="","",IFERROR(AVERAGEIFS(Orders_Log!$H:$H,Orders_Log!$C:$C,$A891,Orders_Log!$H:$H,"&gt;0"),0))</f>
        <v/>
      </c>
      <c r="H891">
        <f>IF($A891="","",COUNTIFS(Orders_Log!$C:$C,$A891,Orders_Log!$P:$P,"Returned to Picker"))</f>
        <v/>
      </c>
    </row>
    <row r="892">
      <c r="B892">
        <f>IF($A892="","",COUNTIFS(Orders_Log!$C:$C,$A892,Orders_Log!$B:$B,"&lt;&gt;"))</f>
        <v/>
      </c>
      <c r="C892">
        <f>IF($A892="","",COUNTIFS(Orders_Log!$C:$C,$A892,Orders_Log!$M:$M,"Yes"))</f>
        <v/>
      </c>
      <c r="D892" s="5">
        <f>IF(B892=0,0,C892/B892)</f>
        <v/>
      </c>
      <c r="E892">
        <f>IF($A892="","",SUMIFS(Orders_Log!$I:$I,Orders_Log!$C:$C,$A892))</f>
        <v/>
      </c>
      <c r="F892">
        <f>IF(B892=0,0,E892/B892)</f>
        <v/>
      </c>
      <c r="G892">
        <f>IF($A892="","",IFERROR(AVERAGEIFS(Orders_Log!$H:$H,Orders_Log!$C:$C,$A892,Orders_Log!$H:$H,"&gt;0"),0))</f>
        <v/>
      </c>
      <c r="H892">
        <f>IF($A892="","",COUNTIFS(Orders_Log!$C:$C,$A892,Orders_Log!$P:$P,"Returned to Picker"))</f>
        <v/>
      </c>
    </row>
    <row r="893">
      <c r="B893">
        <f>IF($A893="","",COUNTIFS(Orders_Log!$C:$C,$A893,Orders_Log!$B:$B,"&lt;&gt;"))</f>
        <v/>
      </c>
      <c r="C893">
        <f>IF($A893="","",COUNTIFS(Orders_Log!$C:$C,$A893,Orders_Log!$M:$M,"Yes"))</f>
        <v/>
      </c>
      <c r="D893" s="5">
        <f>IF(B893=0,0,C893/B893)</f>
        <v/>
      </c>
      <c r="E893">
        <f>IF($A893="","",SUMIFS(Orders_Log!$I:$I,Orders_Log!$C:$C,$A893))</f>
        <v/>
      </c>
      <c r="F893">
        <f>IF(B893=0,0,E893/B893)</f>
        <v/>
      </c>
      <c r="G893">
        <f>IF($A893="","",IFERROR(AVERAGEIFS(Orders_Log!$H:$H,Orders_Log!$C:$C,$A893,Orders_Log!$H:$H,"&gt;0"),0))</f>
        <v/>
      </c>
      <c r="H893">
        <f>IF($A893="","",COUNTIFS(Orders_Log!$C:$C,$A893,Orders_Log!$P:$P,"Returned to Picker"))</f>
        <v/>
      </c>
    </row>
    <row r="894">
      <c r="B894">
        <f>IF($A894="","",COUNTIFS(Orders_Log!$C:$C,$A894,Orders_Log!$B:$B,"&lt;&gt;"))</f>
        <v/>
      </c>
      <c r="C894">
        <f>IF($A894="","",COUNTIFS(Orders_Log!$C:$C,$A894,Orders_Log!$M:$M,"Yes"))</f>
        <v/>
      </c>
      <c r="D894" s="5">
        <f>IF(B894=0,0,C894/B894)</f>
        <v/>
      </c>
      <c r="E894">
        <f>IF($A894="","",SUMIFS(Orders_Log!$I:$I,Orders_Log!$C:$C,$A894))</f>
        <v/>
      </c>
      <c r="F894">
        <f>IF(B894=0,0,E894/B894)</f>
        <v/>
      </c>
      <c r="G894">
        <f>IF($A894="","",IFERROR(AVERAGEIFS(Orders_Log!$H:$H,Orders_Log!$C:$C,$A894,Orders_Log!$H:$H,"&gt;0"),0))</f>
        <v/>
      </c>
      <c r="H894">
        <f>IF($A894="","",COUNTIFS(Orders_Log!$C:$C,$A894,Orders_Log!$P:$P,"Returned to Picker"))</f>
        <v/>
      </c>
    </row>
    <row r="895">
      <c r="B895">
        <f>IF($A895="","",COUNTIFS(Orders_Log!$C:$C,$A895,Orders_Log!$B:$B,"&lt;&gt;"))</f>
        <v/>
      </c>
      <c r="C895">
        <f>IF($A895="","",COUNTIFS(Orders_Log!$C:$C,$A895,Orders_Log!$M:$M,"Yes"))</f>
        <v/>
      </c>
      <c r="D895" s="5">
        <f>IF(B895=0,0,C895/B895)</f>
        <v/>
      </c>
      <c r="E895">
        <f>IF($A895="","",SUMIFS(Orders_Log!$I:$I,Orders_Log!$C:$C,$A895))</f>
        <v/>
      </c>
      <c r="F895">
        <f>IF(B895=0,0,E895/B895)</f>
        <v/>
      </c>
      <c r="G895">
        <f>IF($A895="","",IFERROR(AVERAGEIFS(Orders_Log!$H:$H,Orders_Log!$C:$C,$A895,Orders_Log!$H:$H,"&gt;0"),0))</f>
        <v/>
      </c>
      <c r="H895">
        <f>IF($A895="","",COUNTIFS(Orders_Log!$C:$C,$A895,Orders_Log!$P:$P,"Returned to Picker"))</f>
        <v/>
      </c>
    </row>
    <row r="896">
      <c r="B896">
        <f>IF($A896="","",COUNTIFS(Orders_Log!$C:$C,$A896,Orders_Log!$B:$B,"&lt;&gt;"))</f>
        <v/>
      </c>
      <c r="C896">
        <f>IF($A896="","",COUNTIFS(Orders_Log!$C:$C,$A896,Orders_Log!$M:$M,"Yes"))</f>
        <v/>
      </c>
      <c r="D896" s="5">
        <f>IF(B896=0,0,C896/B896)</f>
        <v/>
      </c>
      <c r="E896">
        <f>IF($A896="","",SUMIFS(Orders_Log!$I:$I,Orders_Log!$C:$C,$A896))</f>
        <v/>
      </c>
      <c r="F896">
        <f>IF(B896=0,0,E896/B896)</f>
        <v/>
      </c>
      <c r="G896">
        <f>IF($A896="","",IFERROR(AVERAGEIFS(Orders_Log!$H:$H,Orders_Log!$C:$C,$A896,Orders_Log!$H:$H,"&gt;0"),0))</f>
        <v/>
      </c>
      <c r="H896">
        <f>IF($A896="","",COUNTIFS(Orders_Log!$C:$C,$A896,Orders_Log!$P:$P,"Returned to Picker"))</f>
        <v/>
      </c>
    </row>
    <row r="897">
      <c r="B897">
        <f>IF($A897="","",COUNTIFS(Orders_Log!$C:$C,$A897,Orders_Log!$B:$B,"&lt;&gt;"))</f>
        <v/>
      </c>
      <c r="C897">
        <f>IF($A897="","",COUNTIFS(Orders_Log!$C:$C,$A897,Orders_Log!$M:$M,"Yes"))</f>
        <v/>
      </c>
      <c r="D897" s="5">
        <f>IF(B897=0,0,C897/B897)</f>
        <v/>
      </c>
      <c r="E897">
        <f>IF($A897="","",SUMIFS(Orders_Log!$I:$I,Orders_Log!$C:$C,$A897))</f>
        <v/>
      </c>
      <c r="F897">
        <f>IF(B897=0,0,E897/B897)</f>
        <v/>
      </c>
      <c r="G897">
        <f>IF($A897="","",IFERROR(AVERAGEIFS(Orders_Log!$H:$H,Orders_Log!$C:$C,$A897,Orders_Log!$H:$H,"&gt;0"),0))</f>
        <v/>
      </c>
      <c r="H897">
        <f>IF($A897="","",COUNTIFS(Orders_Log!$C:$C,$A897,Orders_Log!$P:$P,"Returned to Picker"))</f>
        <v/>
      </c>
    </row>
    <row r="898">
      <c r="B898">
        <f>IF($A898="","",COUNTIFS(Orders_Log!$C:$C,$A898,Orders_Log!$B:$B,"&lt;&gt;"))</f>
        <v/>
      </c>
      <c r="C898">
        <f>IF($A898="","",COUNTIFS(Orders_Log!$C:$C,$A898,Orders_Log!$M:$M,"Yes"))</f>
        <v/>
      </c>
      <c r="D898" s="5">
        <f>IF(B898=0,0,C898/B898)</f>
        <v/>
      </c>
      <c r="E898">
        <f>IF($A898="","",SUMIFS(Orders_Log!$I:$I,Orders_Log!$C:$C,$A898))</f>
        <v/>
      </c>
      <c r="F898">
        <f>IF(B898=0,0,E898/B898)</f>
        <v/>
      </c>
      <c r="G898">
        <f>IF($A898="","",IFERROR(AVERAGEIFS(Orders_Log!$H:$H,Orders_Log!$C:$C,$A898,Orders_Log!$H:$H,"&gt;0"),0))</f>
        <v/>
      </c>
      <c r="H898">
        <f>IF($A898="","",COUNTIFS(Orders_Log!$C:$C,$A898,Orders_Log!$P:$P,"Returned to Picker"))</f>
        <v/>
      </c>
    </row>
    <row r="899">
      <c r="B899">
        <f>IF($A899="","",COUNTIFS(Orders_Log!$C:$C,$A899,Orders_Log!$B:$B,"&lt;&gt;"))</f>
        <v/>
      </c>
      <c r="C899">
        <f>IF($A899="","",COUNTIFS(Orders_Log!$C:$C,$A899,Orders_Log!$M:$M,"Yes"))</f>
        <v/>
      </c>
      <c r="D899" s="5">
        <f>IF(B899=0,0,C899/B899)</f>
        <v/>
      </c>
      <c r="E899">
        <f>IF($A899="","",SUMIFS(Orders_Log!$I:$I,Orders_Log!$C:$C,$A899))</f>
        <v/>
      </c>
      <c r="F899">
        <f>IF(B899=0,0,E899/B899)</f>
        <v/>
      </c>
      <c r="G899">
        <f>IF($A899="","",IFERROR(AVERAGEIFS(Orders_Log!$H:$H,Orders_Log!$C:$C,$A899,Orders_Log!$H:$H,"&gt;0"),0))</f>
        <v/>
      </c>
      <c r="H899">
        <f>IF($A899="","",COUNTIFS(Orders_Log!$C:$C,$A899,Orders_Log!$P:$P,"Returned to Picker"))</f>
        <v/>
      </c>
    </row>
    <row r="900">
      <c r="B900">
        <f>IF($A900="","",COUNTIFS(Orders_Log!$C:$C,$A900,Orders_Log!$B:$B,"&lt;&gt;"))</f>
        <v/>
      </c>
      <c r="C900">
        <f>IF($A900="","",COUNTIFS(Orders_Log!$C:$C,$A900,Orders_Log!$M:$M,"Yes"))</f>
        <v/>
      </c>
      <c r="D900" s="5">
        <f>IF(B900=0,0,C900/B900)</f>
        <v/>
      </c>
      <c r="E900">
        <f>IF($A900="","",SUMIFS(Orders_Log!$I:$I,Orders_Log!$C:$C,$A900))</f>
        <v/>
      </c>
      <c r="F900">
        <f>IF(B900=0,0,E900/B900)</f>
        <v/>
      </c>
      <c r="G900">
        <f>IF($A900="","",IFERROR(AVERAGEIFS(Orders_Log!$H:$H,Orders_Log!$C:$C,$A900,Orders_Log!$H:$H,"&gt;0"),0))</f>
        <v/>
      </c>
      <c r="H900">
        <f>IF($A900="","",COUNTIFS(Orders_Log!$C:$C,$A900,Orders_Log!$P:$P,"Returned to Picker"))</f>
        <v/>
      </c>
    </row>
    <row r="901">
      <c r="B901">
        <f>IF($A901="","",COUNTIFS(Orders_Log!$C:$C,$A901,Orders_Log!$B:$B,"&lt;&gt;"))</f>
        <v/>
      </c>
      <c r="C901">
        <f>IF($A901="","",COUNTIFS(Orders_Log!$C:$C,$A901,Orders_Log!$M:$M,"Yes"))</f>
        <v/>
      </c>
      <c r="D901" s="5">
        <f>IF(B901=0,0,C901/B901)</f>
        <v/>
      </c>
      <c r="E901">
        <f>IF($A901="","",SUMIFS(Orders_Log!$I:$I,Orders_Log!$C:$C,$A901))</f>
        <v/>
      </c>
      <c r="F901">
        <f>IF(B901=0,0,E901/B901)</f>
        <v/>
      </c>
      <c r="G901">
        <f>IF($A901="","",IFERROR(AVERAGEIFS(Orders_Log!$H:$H,Orders_Log!$C:$C,$A901,Orders_Log!$H:$H,"&gt;0"),0))</f>
        <v/>
      </c>
      <c r="H901">
        <f>IF($A901="","",COUNTIFS(Orders_Log!$C:$C,$A901,Orders_Log!$P:$P,"Returned to Picker"))</f>
        <v/>
      </c>
    </row>
    <row r="902">
      <c r="B902">
        <f>IF($A902="","",COUNTIFS(Orders_Log!$C:$C,$A902,Orders_Log!$B:$B,"&lt;&gt;"))</f>
        <v/>
      </c>
      <c r="C902">
        <f>IF($A902="","",COUNTIFS(Orders_Log!$C:$C,$A902,Orders_Log!$M:$M,"Yes"))</f>
        <v/>
      </c>
      <c r="D902" s="5">
        <f>IF(B902=0,0,C902/B902)</f>
        <v/>
      </c>
      <c r="E902">
        <f>IF($A902="","",SUMIFS(Orders_Log!$I:$I,Orders_Log!$C:$C,$A902))</f>
        <v/>
      </c>
      <c r="F902">
        <f>IF(B902=0,0,E902/B902)</f>
        <v/>
      </c>
      <c r="G902">
        <f>IF($A902="","",IFERROR(AVERAGEIFS(Orders_Log!$H:$H,Orders_Log!$C:$C,$A902,Orders_Log!$H:$H,"&gt;0"),0))</f>
        <v/>
      </c>
      <c r="H902">
        <f>IF($A902="","",COUNTIFS(Orders_Log!$C:$C,$A902,Orders_Log!$P:$P,"Returned to Picker"))</f>
        <v/>
      </c>
    </row>
    <row r="903">
      <c r="B903">
        <f>IF($A903="","",COUNTIFS(Orders_Log!$C:$C,$A903,Orders_Log!$B:$B,"&lt;&gt;"))</f>
        <v/>
      </c>
      <c r="C903">
        <f>IF($A903="","",COUNTIFS(Orders_Log!$C:$C,$A903,Orders_Log!$M:$M,"Yes"))</f>
        <v/>
      </c>
      <c r="D903" s="5">
        <f>IF(B903=0,0,C903/B903)</f>
        <v/>
      </c>
      <c r="E903">
        <f>IF($A903="","",SUMIFS(Orders_Log!$I:$I,Orders_Log!$C:$C,$A903))</f>
        <v/>
      </c>
      <c r="F903">
        <f>IF(B903=0,0,E903/B903)</f>
        <v/>
      </c>
      <c r="G903">
        <f>IF($A903="","",IFERROR(AVERAGEIFS(Orders_Log!$H:$H,Orders_Log!$C:$C,$A903,Orders_Log!$H:$H,"&gt;0"),0))</f>
        <v/>
      </c>
      <c r="H903">
        <f>IF($A903="","",COUNTIFS(Orders_Log!$C:$C,$A903,Orders_Log!$P:$P,"Returned to Picker"))</f>
        <v/>
      </c>
    </row>
    <row r="904">
      <c r="B904">
        <f>IF($A904="","",COUNTIFS(Orders_Log!$C:$C,$A904,Orders_Log!$B:$B,"&lt;&gt;"))</f>
        <v/>
      </c>
      <c r="C904">
        <f>IF($A904="","",COUNTIFS(Orders_Log!$C:$C,$A904,Orders_Log!$M:$M,"Yes"))</f>
        <v/>
      </c>
      <c r="D904" s="5">
        <f>IF(B904=0,0,C904/B904)</f>
        <v/>
      </c>
      <c r="E904">
        <f>IF($A904="","",SUMIFS(Orders_Log!$I:$I,Orders_Log!$C:$C,$A904))</f>
        <v/>
      </c>
      <c r="F904">
        <f>IF(B904=0,0,E904/B904)</f>
        <v/>
      </c>
      <c r="G904">
        <f>IF($A904="","",IFERROR(AVERAGEIFS(Orders_Log!$H:$H,Orders_Log!$C:$C,$A904,Orders_Log!$H:$H,"&gt;0"),0))</f>
        <v/>
      </c>
      <c r="H904">
        <f>IF($A904="","",COUNTIFS(Orders_Log!$C:$C,$A904,Orders_Log!$P:$P,"Returned to Picker"))</f>
        <v/>
      </c>
    </row>
    <row r="905">
      <c r="B905">
        <f>IF($A905="","",COUNTIFS(Orders_Log!$C:$C,$A905,Orders_Log!$B:$B,"&lt;&gt;"))</f>
        <v/>
      </c>
      <c r="C905">
        <f>IF($A905="","",COUNTIFS(Orders_Log!$C:$C,$A905,Orders_Log!$M:$M,"Yes"))</f>
        <v/>
      </c>
      <c r="D905" s="5">
        <f>IF(B905=0,0,C905/B905)</f>
        <v/>
      </c>
      <c r="E905">
        <f>IF($A905="","",SUMIFS(Orders_Log!$I:$I,Orders_Log!$C:$C,$A905))</f>
        <v/>
      </c>
      <c r="F905">
        <f>IF(B905=0,0,E905/B905)</f>
        <v/>
      </c>
      <c r="G905">
        <f>IF($A905="","",IFERROR(AVERAGEIFS(Orders_Log!$H:$H,Orders_Log!$C:$C,$A905,Orders_Log!$H:$H,"&gt;0"),0))</f>
        <v/>
      </c>
      <c r="H905">
        <f>IF($A905="","",COUNTIFS(Orders_Log!$C:$C,$A905,Orders_Log!$P:$P,"Returned to Picker"))</f>
        <v/>
      </c>
    </row>
    <row r="906">
      <c r="B906">
        <f>IF($A906="","",COUNTIFS(Orders_Log!$C:$C,$A906,Orders_Log!$B:$B,"&lt;&gt;"))</f>
        <v/>
      </c>
      <c r="C906">
        <f>IF($A906="","",COUNTIFS(Orders_Log!$C:$C,$A906,Orders_Log!$M:$M,"Yes"))</f>
        <v/>
      </c>
      <c r="D906" s="5">
        <f>IF(B906=0,0,C906/B906)</f>
        <v/>
      </c>
      <c r="E906">
        <f>IF($A906="","",SUMIFS(Orders_Log!$I:$I,Orders_Log!$C:$C,$A906))</f>
        <v/>
      </c>
      <c r="F906">
        <f>IF(B906=0,0,E906/B906)</f>
        <v/>
      </c>
      <c r="G906">
        <f>IF($A906="","",IFERROR(AVERAGEIFS(Orders_Log!$H:$H,Orders_Log!$C:$C,$A906,Orders_Log!$H:$H,"&gt;0"),0))</f>
        <v/>
      </c>
      <c r="H906">
        <f>IF($A906="","",COUNTIFS(Orders_Log!$C:$C,$A906,Orders_Log!$P:$P,"Returned to Picker"))</f>
        <v/>
      </c>
    </row>
    <row r="907">
      <c r="B907">
        <f>IF($A907="","",COUNTIFS(Orders_Log!$C:$C,$A907,Orders_Log!$B:$B,"&lt;&gt;"))</f>
        <v/>
      </c>
      <c r="C907">
        <f>IF($A907="","",COUNTIFS(Orders_Log!$C:$C,$A907,Orders_Log!$M:$M,"Yes"))</f>
        <v/>
      </c>
      <c r="D907" s="5">
        <f>IF(B907=0,0,C907/B907)</f>
        <v/>
      </c>
      <c r="E907">
        <f>IF($A907="","",SUMIFS(Orders_Log!$I:$I,Orders_Log!$C:$C,$A907))</f>
        <v/>
      </c>
      <c r="F907">
        <f>IF(B907=0,0,E907/B907)</f>
        <v/>
      </c>
      <c r="G907">
        <f>IF($A907="","",IFERROR(AVERAGEIFS(Orders_Log!$H:$H,Orders_Log!$C:$C,$A907,Orders_Log!$H:$H,"&gt;0"),0))</f>
        <v/>
      </c>
      <c r="H907">
        <f>IF($A907="","",COUNTIFS(Orders_Log!$C:$C,$A907,Orders_Log!$P:$P,"Returned to Picker"))</f>
        <v/>
      </c>
    </row>
    <row r="908">
      <c r="B908">
        <f>IF($A908="","",COUNTIFS(Orders_Log!$C:$C,$A908,Orders_Log!$B:$B,"&lt;&gt;"))</f>
        <v/>
      </c>
      <c r="C908">
        <f>IF($A908="","",COUNTIFS(Orders_Log!$C:$C,$A908,Orders_Log!$M:$M,"Yes"))</f>
        <v/>
      </c>
      <c r="D908" s="5">
        <f>IF(B908=0,0,C908/B908)</f>
        <v/>
      </c>
      <c r="E908">
        <f>IF($A908="","",SUMIFS(Orders_Log!$I:$I,Orders_Log!$C:$C,$A908))</f>
        <v/>
      </c>
      <c r="F908">
        <f>IF(B908=0,0,E908/B908)</f>
        <v/>
      </c>
      <c r="G908">
        <f>IF($A908="","",IFERROR(AVERAGEIFS(Orders_Log!$H:$H,Orders_Log!$C:$C,$A908,Orders_Log!$H:$H,"&gt;0"),0))</f>
        <v/>
      </c>
      <c r="H908">
        <f>IF($A908="","",COUNTIFS(Orders_Log!$C:$C,$A908,Orders_Log!$P:$P,"Returned to Picker"))</f>
        <v/>
      </c>
    </row>
    <row r="909">
      <c r="B909">
        <f>IF($A909="","",COUNTIFS(Orders_Log!$C:$C,$A909,Orders_Log!$B:$B,"&lt;&gt;"))</f>
        <v/>
      </c>
      <c r="C909">
        <f>IF($A909="","",COUNTIFS(Orders_Log!$C:$C,$A909,Orders_Log!$M:$M,"Yes"))</f>
        <v/>
      </c>
      <c r="D909" s="5">
        <f>IF(B909=0,0,C909/B909)</f>
        <v/>
      </c>
      <c r="E909">
        <f>IF($A909="","",SUMIFS(Orders_Log!$I:$I,Orders_Log!$C:$C,$A909))</f>
        <v/>
      </c>
      <c r="F909">
        <f>IF(B909=0,0,E909/B909)</f>
        <v/>
      </c>
      <c r="G909">
        <f>IF($A909="","",IFERROR(AVERAGEIFS(Orders_Log!$H:$H,Orders_Log!$C:$C,$A909,Orders_Log!$H:$H,"&gt;0"),0))</f>
        <v/>
      </c>
      <c r="H909">
        <f>IF($A909="","",COUNTIFS(Orders_Log!$C:$C,$A909,Orders_Log!$P:$P,"Returned to Picker"))</f>
        <v/>
      </c>
    </row>
    <row r="910">
      <c r="B910">
        <f>IF($A910="","",COUNTIFS(Orders_Log!$C:$C,$A910,Orders_Log!$B:$B,"&lt;&gt;"))</f>
        <v/>
      </c>
      <c r="C910">
        <f>IF($A910="","",COUNTIFS(Orders_Log!$C:$C,$A910,Orders_Log!$M:$M,"Yes"))</f>
        <v/>
      </c>
      <c r="D910" s="5">
        <f>IF(B910=0,0,C910/B910)</f>
        <v/>
      </c>
      <c r="E910">
        <f>IF($A910="","",SUMIFS(Orders_Log!$I:$I,Orders_Log!$C:$C,$A910))</f>
        <v/>
      </c>
      <c r="F910">
        <f>IF(B910=0,0,E910/B910)</f>
        <v/>
      </c>
      <c r="G910">
        <f>IF($A910="","",IFERROR(AVERAGEIFS(Orders_Log!$H:$H,Orders_Log!$C:$C,$A910,Orders_Log!$H:$H,"&gt;0"),0))</f>
        <v/>
      </c>
      <c r="H910">
        <f>IF($A910="","",COUNTIFS(Orders_Log!$C:$C,$A910,Orders_Log!$P:$P,"Returned to Picker"))</f>
        <v/>
      </c>
    </row>
    <row r="911">
      <c r="B911">
        <f>IF($A911="","",COUNTIFS(Orders_Log!$C:$C,$A911,Orders_Log!$B:$B,"&lt;&gt;"))</f>
        <v/>
      </c>
      <c r="C911">
        <f>IF($A911="","",COUNTIFS(Orders_Log!$C:$C,$A911,Orders_Log!$M:$M,"Yes"))</f>
        <v/>
      </c>
      <c r="D911" s="5">
        <f>IF(B911=0,0,C911/B911)</f>
        <v/>
      </c>
      <c r="E911">
        <f>IF($A911="","",SUMIFS(Orders_Log!$I:$I,Orders_Log!$C:$C,$A911))</f>
        <v/>
      </c>
      <c r="F911">
        <f>IF(B911=0,0,E911/B911)</f>
        <v/>
      </c>
      <c r="G911">
        <f>IF($A911="","",IFERROR(AVERAGEIFS(Orders_Log!$H:$H,Orders_Log!$C:$C,$A911,Orders_Log!$H:$H,"&gt;0"),0))</f>
        <v/>
      </c>
      <c r="H911">
        <f>IF($A911="","",COUNTIFS(Orders_Log!$C:$C,$A911,Orders_Log!$P:$P,"Returned to Picker"))</f>
        <v/>
      </c>
    </row>
    <row r="912">
      <c r="B912">
        <f>IF($A912="","",COUNTIFS(Orders_Log!$C:$C,$A912,Orders_Log!$B:$B,"&lt;&gt;"))</f>
        <v/>
      </c>
      <c r="C912">
        <f>IF($A912="","",COUNTIFS(Orders_Log!$C:$C,$A912,Orders_Log!$M:$M,"Yes"))</f>
        <v/>
      </c>
      <c r="D912" s="5">
        <f>IF(B912=0,0,C912/B912)</f>
        <v/>
      </c>
      <c r="E912">
        <f>IF($A912="","",SUMIFS(Orders_Log!$I:$I,Orders_Log!$C:$C,$A912))</f>
        <v/>
      </c>
      <c r="F912">
        <f>IF(B912=0,0,E912/B912)</f>
        <v/>
      </c>
      <c r="G912">
        <f>IF($A912="","",IFERROR(AVERAGEIFS(Orders_Log!$H:$H,Orders_Log!$C:$C,$A912,Orders_Log!$H:$H,"&gt;0"),0))</f>
        <v/>
      </c>
      <c r="H912">
        <f>IF($A912="","",COUNTIFS(Orders_Log!$C:$C,$A912,Orders_Log!$P:$P,"Returned to Picker"))</f>
        <v/>
      </c>
    </row>
    <row r="913">
      <c r="B913">
        <f>IF($A913="","",COUNTIFS(Orders_Log!$C:$C,$A913,Orders_Log!$B:$B,"&lt;&gt;"))</f>
        <v/>
      </c>
      <c r="C913">
        <f>IF($A913="","",COUNTIFS(Orders_Log!$C:$C,$A913,Orders_Log!$M:$M,"Yes"))</f>
        <v/>
      </c>
      <c r="D913" s="5">
        <f>IF(B913=0,0,C913/B913)</f>
        <v/>
      </c>
      <c r="E913">
        <f>IF($A913="","",SUMIFS(Orders_Log!$I:$I,Orders_Log!$C:$C,$A913))</f>
        <v/>
      </c>
      <c r="F913">
        <f>IF(B913=0,0,E913/B913)</f>
        <v/>
      </c>
      <c r="G913">
        <f>IF($A913="","",IFERROR(AVERAGEIFS(Orders_Log!$H:$H,Orders_Log!$C:$C,$A913,Orders_Log!$H:$H,"&gt;0"),0))</f>
        <v/>
      </c>
      <c r="H913">
        <f>IF($A913="","",COUNTIFS(Orders_Log!$C:$C,$A913,Orders_Log!$P:$P,"Returned to Picker"))</f>
        <v/>
      </c>
    </row>
    <row r="914">
      <c r="B914">
        <f>IF($A914="","",COUNTIFS(Orders_Log!$C:$C,$A914,Orders_Log!$B:$B,"&lt;&gt;"))</f>
        <v/>
      </c>
      <c r="C914">
        <f>IF($A914="","",COUNTIFS(Orders_Log!$C:$C,$A914,Orders_Log!$M:$M,"Yes"))</f>
        <v/>
      </c>
      <c r="D914" s="5">
        <f>IF(B914=0,0,C914/B914)</f>
        <v/>
      </c>
      <c r="E914">
        <f>IF($A914="","",SUMIFS(Orders_Log!$I:$I,Orders_Log!$C:$C,$A914))</f>
        <v/>
      </c>
      <c r="F914">
        <f>IF(B914=0,0,E914/B914)</f>
        <v/>
      </c>
      <c r="G914">
        <f>IF($A914="","",IFERROR(AVERAGEIFS(Orders_Log!$H:$H,Orders_Log!$C:$C,$A914,Orders_Log!$H:$H,"&gt;0"),0))</f>
        <v/>
      </c>
      <c r="H914">
        <f>IF($A914="","",COUNTIFS(Orders_Log!$C:$C,$A914,Orders_Log!$P:$P,"Returned to Picker"))</f>
        <v/>
      </c>
    </row>
    <row r="915">
      <c r="B915">
        <f>IF($A915="","",COUNTIFS(Orders_Log!$C:$C,$A915,Orders_Log!$B:$B,"&lt;&gt;"))</f>
        <v/>
      </c>
      <c r="C915">
        <f>IF($A915="","",COUNTIFS(Orders_Log!$C:$C,$A915,Orders_Log!$M:$M,"Yes"))</f>
        <v/>
      </c>
      <c r="D915" s="5">
        <f>IF(B915=0,0,C915/B915)</f>
        <v/>
      </c>
      <c r="E915">
        <f>IF($A915="","",SUMIFS(Orders_Log!$I:$I,Orders_Log!$C:$C,$A915))</f>
        <v/>
      </c>
      <c r="F915">
        <f>IF(B915=0,0,E915/B915)</f>
        <v/>
      </c>
      <c r="G915">
        <f>IF($A915="","",IFERROR(AVERAGEIFS(Orders_Log!$H:$H,Orders_Log!$C:$C,$A915,Orders_Log!$H:$H,"&gt;0"),0))</f>
        <v/>
      </c>
      <c r="H915">
        <f>IF($A915="","",COUNTIFS(Orders_Log!$C:$C,$A915,Orders_Log!$P:$P,"Returned to Picker"))</f>
        <v/>
      </c>
    </row>
    <row r="916">
      <c r="B916">
        <f>IF($A916="","",COUNTIFS(Orders_Log!$C:$C,$A916,Orders_Log!$B:$B,"&lt;&gt;"))</f>
        <v/>
      </c>
      <c r="C916">
        <f>IF($A916="","",COUNTIFS(Orders_Log!$C:$C,$A916,Orders_Log!$M:$M,"Yes"))</f>
        <v/>
      </c>
      <c r="D916" s="5">
        <f>IF(B916=0,0,C916/B916)</f>
        <v/>
      </c>
      <c r="E916">
        <f>IF($A916="","",SUMIFS(Orders_Log!$I:$I,Orders_Log!$C:$C,$A916))</f>
        <v/>
      </c>
      <c r="F916">
        <f>IF(B916=0,0,E916/B916)</f>
        <v/>
      </c>
      <c r="G916">
        <f>IF($A916="","",IFERROR(AVERAGEIFS(Orders_Log!$H:$H,Orders_Log!$C:$C,$A916,Orders_Log!$H:$H,"&gt;0"),0))</f>
        <v/>
      </c>
      <c r="H916">
        <f>IF($A916="","",COUNTIFS(Orders_Log!$C:$C,$A916,Orders_Log!$P:$P,"Returned to Picker"))</f>
        <v/>
      </c>
    </row>
    <row r="917">
      <c r="B917">
        <f>IF($A917="","",COUNTIFS(Orders_Log!$C:$C,$A917,Orders_Log!$B:$B,"&lt;&gt;"))</f>
        <v/>
      </c>
      <c r="C917">
        <f>IF($A917="","",COUNTIFS(Orders_Log!$C:$C,$A917,Orders_Log!$M:$M,"Yes"))</f>
        <v/>
      </c>
      <c r="D917" s="5">
        <f>IF(B917=0,0,C917/B917)</f>
        <v/>
      </c>
      <c r="E917">
        <f>IF($A917="","",SUMIFS(Orders_Log!$I:$I,Orders_Log!$C:$C,$A917))</f>
        <v/>
      </c>
      <c r="F917">
        <f>IF(B917=0,0,E917/B917)</f>
        <v/>
      </c>
      <c r="G917">
        <f>IF($A917="","",IFERROR(AVERAGEIFS(Orders_Log!$H:$H,Orders_Log!$C:$C,$A917,Orders_Log!$H:$H,"&gt;0"),0))</f>
        <v/>
      </c>
      <c r="H917">
        <f>IF($A917="","",COUNTIFS(Orders_Log!$C:$C,$A917,Orders_Log!$P:$P,"Returned to Picker"))</f>
        <v/>
      </c>
    </row>
    <row r="918">
      <c r="B918">
        <f>IF($A918="","",COUNTIFS(Orders_Log!$C:$C,$A918,Orders_Log!$B:$B,"&lt;&gt;"))</f>
        <v/>
      </c>
      <c r="C918">
        <f>IF($A918="","",COUNTIFS(Orders_Log!$C:$C,$A918,Orders_Log!$M:$M,"Yes"))</f>
        <v/>
      </c>
      <c r="D918" s="5">
        <f>IF(B918=0,0,C918/B918)</f>
        <v/>
      </c>
      <c r="E918">
        <f>IF($A918="","",SUMIFS(Orders_Log!$I:$I,Orders_Log!$C:$C,$A918))</f>
        <v/>
      </c>
      <c r="F918">
        <f>IF(B918=0,0,E918/B918)</f>
        <v/>
      </c>
      <c r="G918">
        <f>IF($A918="","",IFERROR(AVERAGEIFS(Orders_Log!$H:$H,Orders_Log!$C:$C,$A918,Orders_Log!$H:$H,"&gt;0"),0))</f>
        <v/>
      </c>
      <c r="H918">
        <f>IF($A918="","",COUNTIFS(Orders_Log!$C:$C,$A918,Orders_Log!$P:$P,"Returned to Picker"))</f>
        <v/>
      </c>
    </row>
    <row r="919">
      <c r="B919">
        <f>IF($A919="","",COUNTIFS(Orders_Log!$C:$C,$A919,Orders_Log!$B:$B,"&lt;&gt;"))</f>
        <v/>
      </c>
      <c r="C919">
        <f>IF($A919="","",COUNTIFS(Orders_Log!$C:$C,$A919,Orders_Log!$M:$M,"Yes"))</f>
        <v/>
      </c>
      <c r="D919" s="5">
        <f>IF(B919=0,0,C919/B919)</f>
        <v/>
      </c>
      <c r="E919">
        <f>IF($A919="","",SUMIFS(Orders_Log!$I:$I,Orders_Log!$C:$C,$A919))</f>
        <v/>
      </c>
      <c r="F919">
        <f>IF(B919=0,0,E919/B919)</f>
        <v/>
      </c>
      <c r="G919">
        <f>IF($A919="","",IFERROR(AVERAGEIFS(Orders_Log!$H:$H,Orders_Log!$C:$C,$A919,Orders_Log!$H:$H,"&gt;0"),0))</f>
        <v/>
      </c>
      <c r="H919">
        <f>IF($A919="","",COUNTIFS(Orders_Log!$C:$C,$A919,Orders_Log!$P:$P,"Returned to Picker"))</f>
        <v/>
      </c>
    </row>
    <row r="920">
      <c r="B920">
        <f>IF($A920="","",COUNTIFS(Orders_Log!$C:$C,$A920,Orders_Log!$B:$B,"&lt;&gt;"))</f>
        <v/>
      </c>
      <c r="C920">
        <f>IF($A920="","",COUNTIFS(Orders_Log!$C:$C,$A920,Orders_Log!$M:$M,"Yes"))</f>
        <v/>
      </c>
      <c r="D920" s="5">
        <f>IF(B920=0,0,C920/B920)</f>
        <v/>
      </c>
      <c r="E920">
        <f>IF($A920="","",SUMIFS(Orders_Log!$I:$I,Orders_Log!$C:$C,$A920))</f>
        <v/>
      </c>
      <c r="F920">
        <f>IF(B920=0,0,E920/B920)</f>
        <v/>
      </c>
      <c r="G920">
        <f>IF($A920="","",IFERROR(AVERAGEIFS(Orders_Log!$H:$H,Orders_Log!$C:$C,$A920,Orders_Log!$H:$H,"&gt;0"),0))</f>
        <v/>
      </c>
      <c r="H920">
        <f>IF($A920="","",COUNTIFS(Orders_Log!$C:$C,$A920,Orders_Log!$P:$P,"Returned to Picker"))</f>
        <v/>
      </c>
    </row>
    <row r="921">
      <c r="B921">
        <f>IF($A921="","",COUNTIFS(Orders_Log!$C:$C,$A921,Orders_Log!$B:$B,"&lt;&gt;"))</f>
        <v/>
      </c>
      <c r="C921">
        <f>IF($A921="","",COUNTIFS(Orders_Log!$C:$C,$A921,Orders_Log!$M:$M,"Yes"))</f>
        <v/>
      </c>
      <c r="D921" s="5">
        <f>IF(B921=0,0,C921/B921)</f>
        <v/>
      </c>
      <c r="E921">
        <f>IF($A921="","",SUMIFS(Orders_Log!$I:$I,Orders_Log!$C:$C,$A921))</f>
        <v/>
      </c>
      <c r="F921">
        <f>IF(B921=0,0,E921/B921)</f>
        <v/>
      </c>
      <c r="G921">
        <f>IF($A921="","",IFERROR(AVERAGEIFS(Orders_Log!$H:$H,Orders_Log!$C:$C,$A921,Orders_Log!$H:$H,"&gt;0"),0))</f>
        <v/>
      </c>
      <c r="H921">
        <f>IF($A921="","",COUNTIFS(Orders_Log!$C:$C,$A921,Orders_Log!$P:$P,"Returned to Picker"))</f>
        <v/>
      </c>
    </row>
    <row r="922">
      <c r="B922">
        <f>IF($A922="","",COUNTIFS(Orders_Log!$C:$C,$A922,Orders_Log!$B:$B,"&lt;&gt;"))</f>
        <v/>
      </c>
      <c r="C922">
        <f>IF($A922="","",COUNTIFS(Orders_Log!$C:$C,$A922,Orders_Log!$M:$M,"Yes"))</f>
        <v/>
      </c>
      <c r="D922" s="5">
        <f>IF(B922=0,0,C922/B922)</f>
        <v/>
      </c>
      <c r="E922">
        <f>IF($A922="","",SUMIFS(Orders_Log!$I:$I,Orders_Log!$C:$C,$A922))</f>
        <v/>
      </c>
      <c r="F922">
        <f>IF(B922=0,0,E922/B922)</f>
        <v/>
      </c>
      <c r="G922">
        <f>IF($A922="","",IFERROR(AVERAGEIFS(Orders_Log!$H:$H,Orders_Log!$C:$C,$A922,Orders_Log!$H:$H,"&gt;0"),0))</f>
        <v/>
      </c>
      <c r="H922">
        <f>IF($A922="","",COUNTIFS(Orders_Log!$C:$C,$A922,Orders_Log!$P:$P,"Returned to Picker"))</f>
        <v/>
      </c>
    </row>
    <row r="923">
      <c r="B923">
        <f>IF($A923="","",COUNTIFS(Orders_Log!$C:$C,$A923,Orders_Log!$B:$B,"&lt;&gt;"))</f>
        <v/>
      </c>
      <c r="C923">
        <f>IF($A923="","",COUNTIFS(Orders_Log!$C:$C,$A923,Orders_Log!$M:$M,"Yes"))</f>
        <v/>
      </c>
      <c r="D923" s="5">
        <f>IF(B923=0,0,C923/B923)</f>
        <v/>
      </c>
      <c r="E923">
        <f>IF($A923="","",SUMIFS(Orders_Log!$I:$I,Orders_Log!$C:$C,$A923))</f>
        <v/>
      </c>
      <c r="F923">
        <f>IF(B923=0,0,E923/B923)</f>
        <v/>
      </c>
      <c r="G923">
        <f>IF($A923="","",IFERROR(AVERAGEIFS(Orders_Log!$H:$H,Orders_Log!$C:$C,$A923,Orders_Log!$H:$H,"&gt;0"),0))</f>
        <v/>
      </c>
      <c r="H923">
        <f>IF($A923="","",COUNTIFS(Orders_Log!$C:$C,$A923,Orders_Log!$P:$P,"Returned to Picker"))</f>
        <v/>
      </c>
    </row>
    <row r="924">
      <c r="B924">
        <f>IF($A924="","",COUNTIFS(Orders_Log!$C:$C,$A924,Orders_Log!$B:$B,"&lt;&gt;"))</f>
        <v/>
      </c>
      <c r="C924">
        <f>IF($A924="","",COUNTIFS(Orders_Log!$C:$C,$A924,Orders_Log!$M:$M,"Yes"))</f>
        <v/>
      </c>
      <c r="D924" s="5">
        <f>IF(B924=0,0,C924/B924)</f>
        <v/>
      </c>
      <c r="E924">
        <f>IF($A924="","",SUMIFS(Orders_Log!$I:$I,Orders_Log!$C:$C,$A924))</f>
        <v/>
      </c>
      <c r="F924">
        <f>IF(B924=0,0,E924/B924)</f>
        <v/>
      </c>
      <c r="G924">
        <f>IF($A924="","",IFERROR(AVERAGEIFS(Orders_Log!$H:$H,Orders_Log!$C:$C,$A924,Orders_Log!$H:$H,"&gt;0"),0))</f>
        <v/>
      </c>
      <c r="H924">
        <f>IF($A924="","",COUNTIFS(Orders_Log!$C:$C,$A924,Orders_Log!$P:$P,"Returned to Picker"))</f>
        <v/>
      </c>
    </row>
    <row r="925">
      <c r="B925">
        <f>IF($A925="","",COUNTIFS(Orders_Log!$C:$C,$A925,Orders_Log!$B:$B,"&lt;&gt;"))</f>
        <v/>
      </c>
      <c r="C925">
        <f>IF($A925="","",COUNTIFS(Orders_Log!$C:$C,$A925,Orders_Log!$M:$M,"Yes"))</f>
        <v/>
      </c>
      <c r="D925" s="5">
        <f>IF(B925=0,0,C925/B925)</f>
        <v/>
      </c>
      <c r="E925">
        <f>IF($A925="","",SUMIFS(Orders_Log!$I:$I,Orders_Log!$C:$C,$A925))</f>
        <v/>
      </c>
      <c r="F925">
        <f>IF(B925=0,0,E925/B925)</f>
        <v/>
      </c>
      <c r="G925">
        <f>IF($A925="","",IFERROR(AVERAGEIFS(Orders_Log!$H:$H,Orders_Log!$C:$C,$A925,Orders_Log!$H:$H,"&gt;0"),0))</f>
        <v/>
      </c>
      <c r="H925">
        <f>IF($A925="","",COUNTIFS(Orders_Log!$C:$C,$A925,Orders_Log!$P:$P,"Returned to Picker"))</f>
        <v/>
      </c>
    </row>
    <row r="926">
      <c r="B926">
        <f>IF($A926="","",COUNTIFS(Orders_Log!$C:$C,$A926,Orders_Log!$B:$B,"&lt;&gt;"))</f>
        <v/>
      </c>
      <c r="C926">
        <f>IF($A926="","",COUNTIFS(Orders_Log!$C:$C,$A926,Orders_Log!$M:$M,"Yes"))</f>
        <v/>
      </c>
      <c r="D926" s="5">
        <f>IF(B926=0,0,C926/B926)</f>
        <v/>
      </c>
      <c r="E926">
        <f>IF($A926="","",SUMIFS(Orders_Log!$I:$I,Orders_Log!$C:$C,$A926))</f>
        <v/>
      </c>
      <c r="F926">
        <f>IF(B926=0,0,E926/B926)</f>
        <v/>
      </c>
      <c r="G926">
        <f>IF($A926="","",IFERROR(AVERAGEIFS(Orders_Log!$H:$H,Orders_Log!$C:$C,$A926,Orders_Log!$H:$H,"&gt;0"),0))</f>
        <v/>
      </c>
      <c r="H926">
        <f>IF($A926="","",COUNTIFS(Orders_Log!$C:$C,$A926,Orders_Log!$P:$P,"Returned to Picker"))</f>
        <v/>
      </c>
    </row>
    <row r="927">
      <c r="B927">
        <f>IF($A927="","",COUNTIFS(Orders_Log!$C:$C,$A927,Orders_Log!$B:$B,"&lt;&gt;"))</f>
        <v/>
      </c>
      <c r="C927">
        <f>IF($A927="","",COUNTIFS(Orders_Log!$C:$C,$A927,Orders_Log!$M:$M,"Yes"))</f>
        <v/>
      </c>
      <c r="D927" s="5">
        <f>IF(B927=0,0,C927/B927)</f>
        <v/>
      </c>
      <c r="E927">
        <f>IF($A927="","",SUMIFS(Orders_Log!$I:$I,Orders_Log!$C:$C,$A927))</f>
        <v/>
      </c>
      <c r="F927">
        <f>IF(B927=0,0,E927/B927)</f>
        <v/>
      </c>
      <c r="G927">
        <f>IF($A927="","",IFERROR(AVERAGEIFS(Orders_Log!$H:$H,Orders_Log!$C:$C,$A927,Orders_Log!$H:$H,"&gt;0"),0))</f>
        <v/>
      </c>
      <c r="H927">
        <f>IF($A927="","",COUNTIFS(Orders_Log!$C:$C,$A927,Orders_Log!$P:$P,"Returned to Picker"))</f>
        <v/>
      </c>
    </row>
    <row r="928">
      <c r="B928">
        <f>IF($A928="","",COUNTIFS(Orders_Log!$C:$C,$A928,Orders_Log!$B:$B,"&lt;&gt;"))</f>
        <v/>
      </c>
      <c r="C928">
        <f>IF($A928="","",COUNTIFS(Orders_Log!$C:$C,$A928,Orders_Log!$M:$M,"Yes"))</f>
        <v/>
      </c>
      <c r="D928" s="5">
        <f>IF(B928=0,0,C928/B928)</f>
        <v/>
      </c>
      <c r="E928">
        <f>IF($A928="","",SUMIFS(Orders_Log!$I:$I,Orders_Log!$C:$C,$A928))</f>
        <v/>
      </c>
      <c r="F928">
        <f>IF(B928=0,0,E928/B928)</f>
        <v/>
      </c>
      <c r="G928">
        <f>IF($A928="","",IFERROR(AVERAGEIFS(Orders_Log!$H:$H,Orders_Log!$C:$C,$A928,Orders_Log!$H:$H,"&gt;0"),0))</f>
        <v/>
      </c>
      <c r="H928">
        <f>IF($A928="","",COUNTIFS(Orders_Log!$C:$C,$A928,Orders_Log!$P:$P,"Returned to Picker"))</f>
        <v/>
      </c>
    </row>
    <row r="929">
      <c r="B929">
        <f>IF($A929="","",COUNTIFS(Orders_Log!$C:$C,$A929,Orders_Log!$B:$B,"&lt;&gt;"))</f>
        <v/>
      </c>
      <c r="C929">
        <f>IF($A929="","",COUNTIFS(Orders_Log!$C:$C,$A929,Orders_Log!$M:$M,"Yes"))</f>
        <v/>
      </c>
      <c r="D929" s="5">
        <f>IF(B929=0,0,C929/B929)</f>
        <v/>
      </c>
      <c r="E929">
        <f>IF($A929="","",SUMIFS(Orders_Log!$I:$I,Orders_Log!$C:$C,$A929))</f>
        <v/>
      </c>
      <c r="F929">
        <f>IF(B929=0,0,E929/B929)</f>
        <v/>
      </c>
      <c r="G929">
        <f>IF($A929="","",IFERROR(AVERAGEIFS(Orders_Log!$H:$H,Orders_Log!$C:$C,$A929,Orders_Log!$H:$H,"&gt;0"),0))</f>
        <v/>
      </c>
      <c r="H929">
        <f>IF($A929="","",COUNTIFS(Orders_Log!$C:$C,$A929,Orders_Log!$P:$P,"Returned to Picker"))</f>
        <v/>
      </c>
    </row>
    <row r="930">
      <c r="B930">
        <f>IF($A930="","",COUNTIFS(Orders_Log!$C:$C,$A930,Orders_Log!$B:$B,"&lt;&gt;"))</f>
        <v/>
      </c>
      <c r="C930">
        <f>IF($A930="","",COUNTIFS(Orders_Log!$C:$C,$A930,Orders_Log!$M:$M,"Yes"))</f>
        <v/>
      </c>
      <c r="D930" s="5">
        <f>IF(B930=0,0,C930/B930)</f>
        <v/>
      </c>
      <c r="E930">
        <f>IF($A930="","",SUMIFS(Orders_Log!$I:$I,Orders_Log!$C:$C,$A930))</f>
        <v/>
      </c>
      <c r="F930">
        <f>IF(B930=0,0,E930/B930)</f>
        <v/>
      </c>
      <c r="G930">
        <f>IF($A930="","",IFERROR(AVERAGEIFS(Orders_Log!$H:$H,Orders_Log!$C:$C,$A930,Orders_Log!$H:$H,"&gt;0"),0))</f>
        <v/>
      </c>
      <c r="H930">
        <f>IF($A930="","",COUNTIFS(Orders_Log!$C:$C,$A930,Orders_Log!$P:$P,"Returned to Picker"))</f>
        <v/>
      </c>
    </row>
    <row r="931">
      <c r="B931">
        <f>IF($A931="","",COUNTIFS(Orders_Log!$C:$C,$A931,Orders_Log!$B:$B,"&lt;&gt;"))</f>
        <v/>
      </c>
      <c r="C931">
        <f>IF($A931="","",COUNTIFS(Orders_Log!$C:$C,$A931,Orders_Log!$M:$M,"Yes"))</f>
        <v/>
      </c>
      <c r="D931" s="5">
        <f>IF(B931=0,0,C931/B931)</f>
        <v/>
      </c>
      <c r="E931">
        <f>IF($A931="","",SUMIFS(Orders_Log!$I:$I,Orders_Log!$C:$C,$A931))</f>
        <v/>
      </c>
      <c r="F931">
        <f>IF(B931=0,0,E931/B931)</f>
        <v/>
      </c>
      <c r="G931">
        <f>IF($A931="","",IFERROR(AVERAGEIFS(Orders_Log!$H:$H,Orders_Log!$C:$C,$A931,Orders_Log!$H:$H,"&gt;0"),0))</f>
        <v/>
      </c>
      <c r="H931">
        <f>IF($A931="","",COUNTIFS(Orders_Log!$C:$C,$A931,Orders_Log!$P:$P,"Returned to Picker"))</f>
        <v/>
      </c>
    </row>
    <row r="932">
      <c r="B932">
        <f>IF($A932="","",COUNTIFS(Orders_Log!$C:$C,$A932,Orders_Log!$B:$B,"&lt;&gt;"))</f>
        <v/>
      </c>
      <c r="C932">
        <f>IF($A932="","",COUNTIFS(Orders_Log!$C:$C,$A932,Orders_Log!$M:$M,"Yes"))</f>
        <v/>
      </c>
      <c r="D932" s="5">
        <f>IF(B932=0,0,C932/B932)</f>
        <v/>
      </c>
      <c r="E932">
        <f>IF($A932="","",SUMIFS(Orders_Log!$I:$I,Orders_Log!$C:$C,$A932))</f>
        <v/>
      </c>
      <c r="F932">
        <f>IF(B932=0,0,E932/B932)</f>
        <v/>
      </c>
      <c r="G932">
        <f>IF($A932="","",IFERROR(AVERAGEIFS(Orders_Log!$H:$H,Orders_Log!$C:$C,$A932,Orders_Log!$H:$H,"&gt;0"),0))</f>
        <v/>
      </c>
      <c r="H932">
        <f>IF($A932="","",COUNTIFS(Orders_Log!$C:$C,$A932,Orders_Log!$P:$P,"Returned to Picker"))</f>
        <v/>
      </c>
    </row>
    <row r="933">
      <c r="B933">
        <f>IF($A933="","",COUNTIFS(Orders_Log!$C:$C,$A933,Orders_Log!$B:$B,"&lt;&gt;"))</f>
        <v/>
      </c>
      <c r="C933">
        <f>IF($A933="","",COUNTIFS(Orders_Log!$C:$C,$A933,Orders_Log!$M:$M,"Yes"))</f>
        <v/>
      </c>
      <c r="D933" s="5">
        <f>IF(B933=0,0,C933/B933)</f>
        <v/>
      </c>
      <c r="E933">
        <f>IF($A933="","",SUMIFS(Orders_Log!$I:$I,Orders_Log!$C:$C,$A933))</f>
        <v/>
      </c>
      <c r="F933">
        <f>IF(B933=0,0,E933/B933)</f>
        <v/>
      </c>
      <c r="G933">
        <f>IF($A933="","",IFERROR(AVERAGEIFS(Orders_Log!$H:$H,Orders_Log!$C:$C,$A933,Orders_Log!$H:$H,"&gt;0"),0))</f>
        <v/>
      </c>
      <c r="H933">
        <f>IF($A933="","",COUNTIFS(Orders_Log!$C:$C,$A933,Orders_Log!$P:$P,"Returned to Picker"))</f>
        <v/>
      </c>
    </row>
    <row r="934">
      <c r="B934">
        <f>IF($A934="","",COUNTIFS(Orders_Log!$C:$C,$A934,Orders_Log!$B:$B,"&lt;&gt;"))</f>
        <v/>
      </c>
      <c r="C934">
        <f>IF($A934="","",COUNTIFS(Orders_Log!$C:$C,$A934,Orders_Log!$M:$M,"Yes"))</f>
        <v/>
      </c>
      <c r="D934" s="5">
        <f>IF(B934=0,0,C934/B934)</f>
        <v/>
      </c>
      <c r="E934">
        <f>IF($A934="","",SUMIFS(Orders_Log!$I:$I,Orders_Log!$C:$C,$A934))</f>
        <v/>
      </c>
      <c r="F934">
        <f>IF(B934=0,0,E934/B934)</f>
        <v/>
      </c>
      <c r="G934">
        <f>IF($A934="","",IFERROR(AVERAGEIFS(Orders_Log!$H:$H,Orders_Log!$C:$C,$A934,Orders_Log!$H:$H,"&gt;0"),0))</f>
        <v/>
      </c>
      <c r="H934">
        <f>IF($A934="","",COUNTIFS(Orders_Log!$C:$C,$A934,Orders_Log!$P:$P,"Returned to Picker"))</f>
        <v/>
      </c>
    </row>
    <row r="935">
      <c r="B935">
        <f>IF($A935="","",COUNTIFS(Orders_Log!$C:$C,$A935,Orders_Log!$B:$B,"&lt;&gt;"))</f>
        <v/>
      </c>
      <c r="C935">
        <f>IF($A935="","",COUNTIFS(Orders_Log!$C:$C,$A935,Orders_Log!$M:$M,"Yes"))</f>
        <v/>
      </c>
      <c r="D935" s="5">
        <f>IF(B935=0,0,C935/B935)</f>
        <v/>
      </c>
      <c r="E935">
        <f>IF($A935="","",SUMIFS(Orders_Log!$I:$I,Orders_Log!$C:$C,$A935))</f>
        <v/>
      </c>
      <c r="F935">
        <f>IF(B935=0,0,E935/B935)</f>
        <v/>
      </c>
      <c r="G935">
        <f>IF($A935="","",IFERROR(AVERAGEIFS(Orders_Log!$H:$H,Orders_Log!$C:$C,$A935,Orders_Log!$H:$H,"&gt;0"),0))</f>
        <v/>
      </c>
      <c r="H935">
        <f>IF($A935="","",COUNTIFS(Orders_Log!$C:$C,$A935,Orders_Log!$P:$P,"Returned to Picker"))</f>
        <v/>
      </c>
    </row>
    <row r="936">
      <c r="B936">
        <f>IF($A936="","",COUNTIFS(Orders_Log!$C:$C,$A936,Orders_Log!$B:$B,"&lt;&gt;"))</f>
        <v/>
      </c>
      <c r="C936">
        <f>IF($A936="","",COUNTIFS(Orders_Log!$C:$C,$A936,Orders_Log!$M:$M,"Yes"))</f>
        <v/>
      </c>
      <c r="D936" s="5">
        <f>IF(B936=0,0,C936/B936)</f>
        <v/>
      </c>
      <c r="E936">
        <f>IF($A936="","",SUMIFS(Orders_Log!$I:$I,Orders_Log!$C:$C,$A936))</f>
        <v/>
      </c>
      <c r="F936">
        <f>IF(B936=0,0,E936/B936)</f>
        <v/>
      </c>
      <c r="G936">
        <f>IF($A936="","",IFERROR(AVERAGEIFS(Orders_Log!$H:$H,Orders_Log!$C:$C,$A936,Orders_Log!$H:$H,"&gt;0"),0))</f>
        <v/>
      </c>
      <c r="H936">
        <f>IF($A936="","",COUNTIFS(Orders_Log!$C:$C,$A936,Orders_Log!$P:$P,"Returned to Picker"))</f>
        <v/>
      </c>
    </row>
    <row r="937">
      <c r="B937">
        <f>IF($A937="","",COUNTIFS(Orders_Log!$C:$C,$A937,Orders_Log!$B:$B,"&lt;&gt;"))</f>
        <v/>
      </c>
      <c r="C937">
        <f>IF($A937="","",COUNTIFS(Orders_Log!$C:$C,$A937,Orders_Log!$M:$M,"Yes"))</f>
        <v/>
      </c>
      <c r="D937" s="5">
        <f>IF(B937=0,0,C937/B937)</f>
        <v/>
      </c>
      <c r="E937">
        <f>IF($A937="","",SUMIFS(Orders_Log!$I:$I,Orders_Log!$C:$C,$A937))</f>
        <v/>
      </c>
      <c r="F937">
        <f>IF(B937=0,0,E937/B937)</f>
        <v/>
      </c>
      <c r="G937">
        <f>IF($A937="","",IFERROR(AVERAGEIFS(Orders_Log!$H:$H,Orders_Log!$C:$C,$A937,Orders_Log!$H:$H,"&gt;0"),0))</f>
        <v/>
      </c>
      <c r="H937">
        <f>IF($A937="","",COUNTIFS(Orders_Log!$C:$C,$A937,Orders_Log!$P:$P,"Returned to Picker"))</f>
        <v/>
      </c>
    </row>
    <row r="938">
      <c r="B938">
        <f>IF($A938="","",COUNTIFS(Orders_Log!$C:$C,$A938,Orders_Log!$B:$B,"&lt;&gt;"))</f>
        <v/>
      </c>
      <c r="C938">
        <f>IF($A938="","",COUNTIFS(Orders_Log!$C:$C,$A938,Orders_Log!$M:$M,"Yes"))</f>
        <v/>
      </c>
      <c r="D938" s="5">
        <f>IF(B938=0,0,C938/B938)</f>
        <v/>
      </c>
      <c r="E938">
        <f>IF($A938="","",SUMIFS(Orders_Log!$I:$I,Orders_Log!$C:$C,$A938))</f>
        <v/>
      </c>
      <c r="F938">
        <f>IF(B938=0,0,E938/B938)</f>
        <v/>
      </c>
      <c r="G938">
        <f>IF($A938="","",IFERROR(AVERAGEIFS(Orders_Log!$H:$H,Orders_Log!$C:$C,$A938,Orders_Log!$H:$H,"&gt;0"),0))</f>
        <v/>
      </c>
      <c r="H938">
        <f>IF($A938="","",COUNTIFS(Orders_Log!$C:$C,$A938,Orders_Log!$P:$P,"Returned to Picker"))</f>
        <v/>
      </c>
    </row>
    <row r="939">
      <c r="B939">
        <f>IF($A939="","",COUNTIFS(Orders_Log!$C:$C,$A939,Orders_Log!$B:$B,"&lt;&gt;"))</f>
        <v/>
      </c>
      <c r="C939">
        <f>IF($A939="","",COUNTIFS(Orders_Log!$C:$C,$A939,Orders_Log!$M:$M,"Yes"))</f>
        <v/>
      </c>
      <c r="D939" s="5">
        <f>IF(B939=0,0,C939/B939)</f>
        <v/>
      </c>
      <c r="E939">
        <f>IF($A939="","",SUMIFS(Orders_Log!$I:$I,Orders_Log!$C:$C,$A939))</f>
        <v/>
      </c>
      <c r="F939">
        <f>IF(B939=0,0,E939/B939)</f>
        <v/>
      </c>
      <c r="G939">
        <f>IF($A939="","",IFERROR(AVERAGEIFS(Orders_Log!$H:$H,Orders_Log!$C:$C,$A939,Orders_Log!$H:$H,"&gt;0"),0))</f>
        <v/>
      </c>
      <c r="H939">
        <f>IF($A939="","",COUNTIFS(Orders_Log!$C:$C,$A939,Orders_Log!$P:$P,"Returned to Picker"))</f>
        <v/>
      </c>
    </row>
    <row r="940">
      <c r="B940">
        <f>IF($A940="","",COUNTIFS(Orders_Log!$C:$C,$A940,Orders_Log!$B:$B,"&lt;&gt;"))</f>
        <v/>
      </c>
      <c r="C940">
        <f>IF($A940="","",COUNTIFS(Orders_Log!$C:$C,$A940,Orders_Log!$M:$M,"Yes"))</f>
        <v/>
      </c>
      <c r="D940" s="5">
        <f>IF(B940=0,0,C940/B940)</f>
        <v/>
      </c>
      <c r="E940">
        <f>IF($A940="","",SUMIFS(Orders_Log!$I:$I,Orders_Log!$C:$C,$A940))</f>
        <v/>
      </c>
      <c r="F940">
        <f>IF(B940=0,0,E940/B940)</f>
        <v/>
      </c>
      <c r="G940">
        <f>IF($A940="","",IFERROR(AVERAGEIFS(Orders_Log!$H:$H,Orders_Log!$C:$C,$A940,Orders_Log!$H:$H,"&gt;0"),0))</f>
        <v/>
      </c>
      <c r="H940">
        <f>IF($A940="","",COUNTIFS(Orders_Log!$C:$C,$A940,Orders_Log!$P:$P,"Returned to Picker"))</f>
        <v/>
      </c>
    </row>
    <row r="941">
      <c r="B941">
        <f>IF($A941="","",COUNTIFS(Orders_Log!$C:$C,$A941,Orders_Log!$B:$B,"&lt;&gt;"))</f>
        <v/>
      </c>
      <c r="C941">
        <f>IF($A941="","",COUNTIFS(Orders_Log!$C:$C,$A941,Orders_Log!$M:$M,"Yes"))</f>
        <v/>
      </c>
      <c r="D941" s="5">
        <f>IF(B941=0,0,C941/B941)</f>
        <v/>
      </c>
      <c r="E941">
        <f>IF($A941="","",SUMIFS(Orders_Log!$I:$I,Orders_Log!$C:$C,$A941))</f>
        <v/>
      </c>
      <c r="F941">
        <f>IF(B941=0,0,E941/B941)</f>
        <v/>
      </c>
      <c r="G941">
        <f>IF($A941="","",IFERROR(AVERAGEIFS(Orders_Log!$H:$H,Orders_Log!$C:$C,$A941,Orders_Log!$H:$H,"&gt;0"),0))</f>
        <v/>
      </c>
      <c r="H941">
        <f>IF($A941="","",COUNTIFS(Orders_Log!$C:$C,$A941,Orders_Log!$P:$P,"Returned to Picker"))</f>
        <v/>
      </c>
    </row>
    <row r="942">
      <c r="B942">
        <f>IF($A942="","",COUNTIFS(Orders_Log!$C:$C,$A942,Orders_Log!$B:$B,"&lt;&gt;"))</f>
        <v/>
      </c>
      <c r="C942">
        <f>IF($A942="","",COUNTIFS(Orders_Log!$C:$C,$A942,Orders_Log!$M:$M,"Yes"))</f>
        <v/>
      </c>
      <c r="D942" s="5">
        <f>IF(B942=0,0,C942/B942)</f>
        <v/>
      </c>
      <c r="E942">
        <f>IF($A942="","",SUMIFS(Orders_Log!$I:$I,Orders_Log!$C:$C,$A942))</f>
        <v/>
      </c>
      <c r="F942">
        <f>IF(B942=0,0,E942/B942)</f>
        <v/>
      </c>
      <c r="G942">
        <f>IF($A942="","",IFERROR(AVERAGEIFS(Orders_Log!$H:$H,Orders_Log!$C:$C,$A942,Orders_Log!$H:$H,"&gt;0"),0))</f>
        <v/>
      </c>
      <c r="H942">
        <f>IF($A942="","",COUNTIFS(Orders_Log!$C:$C,$A942,Orders_Log!$P:$P,"Returned to Picker"))</f>
        <v/>
      </c>
    </row>
    <row r="943">
      <c r="B943">
        <f>IF($A943="","",COUNTIFS(Orders_Log!$C:$C,$A943,Orders_Log!$B:$B,"&lt;&gt;"))</f>
        <v/>
      </c>
      <c r="C943">
        <f>IF($A943="","",COUNTIFS(Orders_Log!$C:$C,$A943,Orders_Log!$M:$M,"Yes"))</f>
        <v/>
      </c>
      <c r="D943" s="5">
        <f>IF(B943=0,0,C943/B943)</f>
        <v/>
      </c>
      <c r="E943">
        <f>IF($A943="","",SUMIFS(Orders_Log!$I:$I,Orders_Log!$C:$C,$A943))</f>
        <v/>
      </c>
      <c r="F943">
        <f>IF(B943=0,0,E943/B943)</f>
        <v/>
      </c>
      <c r="G943">
        <f>IF($A943="","",IFERROR(AVERAGEIFS(Orders_Log!$H:$H,Orders_Log!$C:$C,$A943,Orders_Log!$H:$H,"&gt;0"),0))</f>
        <v/>
      </c>
      <c r="H943">
        <f>IF($A943="","",COUNTIFS(Orders_Log!$C:$C,$A943,Orders_Log!$P:$P,"Returned to Picker"))</f>
        <v/>
      </c>
    </row>
    <row r="944">
      <c r="B944">
        <f>IF($A944="","",COUNTIFS(Orders_Log!$C:$C,$A944,Orders_Log!$B:$B,"&lt;&gt;"))</f>
        <v/>
      </c>
      <c r="C944">
        <f>IF($A944="","",COUNTIFS(Orders_Log!$C:$C,$A944,Orders_Log!$M:$M,"Yes"))</f>
        <v/>
      </c>
      <c r="D944" s="5">
        <f>IF(B944=0,0,C944/B944)</f>
        <v/>
      </c>
      <c r="E944">
        <f>IF($A944="","",SUMIFS(Orders_Log!$I:$I,Orders_Log!$C:$C,$A944))</f>
        <v/>
      </c>
      <c r="F944">
        <f>IF(B944=0,0,E944/B944)</f>
        <v/>
      </c>
      <c r="G944">
        <f>IF($A944="","",IFERROR(AVERAGEIFS(Orders_Log!$H:$H,Orders_Log!$C:$C,$A944,Orders_Log!$H:$H,"&gt;0"),0))</f>
        <v/>
      </c>
      <c r="H944">
        <f>IF($A944="","",COUNTIFS(Orders_Log!$C:$C,$A944,Orders_Log!$P:$P,"Returned to Picker"))</f>
        <v/>
      </c>
    </row>
    <row r="945">
      <c r="B945">
        <f>IF($A945="","",COUNTIFS(Orders_Log!$C:$C,$A945,Orders_Log!$B:$B,"&lt;&gt;"))</f>
        <v/>
      </c>
      <c r="C945">
        <f>IF($A945="","",COUNTIFS(Orders_Log!$C:$C,$A945,Orders_Log!$M:$M,"Yes"))</f>
        <v/>
      </c>
      <c r="D945" s="5">
        <f>IF(B945=0,0,C945/B945)</f>
        <v/>
      </c>
      <c r="E945">
        <f>IF($A945="","",SUMIFS(Orders_Log!$I:$I,Orders_Log!$C:$C,$A945))</f>
        <v/>
      </c>
      <c r="F945">
        <f>IF(B945=0,0,E945/B945)</f>
        <v/>
      </c>
      <c r="G945">
        <f>IF($A945="","",IFERROR(AVERAGEIFS(Orders_Log!$H:$H,Orders_Log!$C:$C,$A945,Orders_Log!$H:$H,"&gt;0"),0))</f>
        <v/>
      </c>
      <c r="H945">
        <f>IF($A945="","",COUNTIFS(Orders_Log!$C:$C,$A945,Orders_Log!$P:$P,"Returned to Picker"))</f>
        <v/>
      </c>
    </row>
    <row r="946">
      <c r="B946">
        <f>IF($A946="","",COUNTIFS(Orders_Log!$C:$C,$A946,Orders_Log!$B:$B,"&lt;&gt;"))</f>
        <v/>
      </c>
      <c r="C946">
        <f>IF($A946="","",COUNTIFS(Orders_Log!$C:$C,$A946,Orders_Log!$M:$M,"Yes"))</f>
        <v/>
      </c>
      <c r="D946" s="5">
        <f>IF(B946=0,0,C946/B946)</f>
        <v/>
      </c>
      <c r="E946">
        <f>IF($A946="","",SUMIFS(Orders_Log!$I:$I,Orders_Log!$C:$C,$A946))</f>
        <v/>
      </c>
      <c r="F946">
        <f>IF(B946=0,0,E946/B946)</f>
        <v/>
      </c>
      <c r="G946">
        <f>IF($A946="","",IFERROR(AVERAGEIFS(Orders_Log!$H:$H,Orders_Log!$C:$C,$A946,Orders_Log!$H:$H,"&gt;0"),0))</f>
        <v/>
      </c>
      <c r="H946">
        <f>IF($A946="","",COUNTIFS(Orders_Log!$C:$C,$A946,Orders_Log!$P:$P,"Returned to Picker"))</f>
        <v/>
      </c>
    </row>
    <row r="947">
      <c r="B947">
        <f>IF($A947="","",COUNTIFS(Orders_Log!$C:$C,$A947,Orders_Log!$B:$B,"&lt;&gt;"))</f>
        <v/>
      </c>
      <c r="C947">
        <f>IF($A947="","",COUNTIFS(Orders_Log!$C:$C,$A947,Orders_Log!$M:$M,"Yes"))</f>
        <v/>
      </c>
      <c r="D947" s="5">
        <f>IF(B947=0,0,C947/B947)</f>
        <v/>
      </c>
      <c r="E947">
        <f>IF($A947="","",SUMIFS(Orders_Log!$I:$I,Orders_Log!$C:$C,$A947))</f>
        <v/>
      </c>
      <c r="F947">
        <f>IF(B947=0,0,E947/B947)</f>
        <v/>
      </c>
      <c r="G947">
        <f>IF($A947="","",IFERROR(AVERAGEIFS(Orders_Log!$H:$H,Orders_Log!$C:$C,$A947,Orders_Log!$H:$H,"&gt;0"),0))</f>
        <v/>
      </c>
      <c r="H947">
        <f>IF($A947="","",COUNTIFS(Orders_Log!$C:$C,$A947,Orders_Log!$P:$P,"Returned to Picker"))</f>
        <v/>
      </c>
    </row>
    <row r="948">
      <c r="B948">
        <f>IF($A948="","",COUNTIFS(Orders_Log!$C:$C,$A948,Orders_Log!$B:$B,"&lt;&gt;"))</f>
        <v/>
      </c>
      <c r="C948">
        <f>IF($A948="","",COUNTIFS(Orders_Log!$C:$C,$A948,Orders_Log!$M:$M,"Yes"))</f>
        <v/>
      </c>
      <c r="D948" s="5">
        <f>IF(B948=0,0,C948/B948)</f>
        <v/>
      </c>
      <c r="E948">
        <f>IF($A948="","",SUMIFS(Orders_Log!$I:$I,Orders_Log!$C:$C,$A948))</f>
        <v/>
      </c>
      <c r="F948">
        <f>IF(B948=0,0,E948/B948)</f>
        <v/>
      </c>
      <c r="G948">
        <f>IF($A948="","",IFERROR(AVERAGEIFS(Orders_Log!$H:$H,Orders_Log!$C:$C,$A948,Orders_Log!$H:$H,"&gt;0"),0))</f>
        <v/>
      </c>
      <c r="H948">
        <f>IF($A948="","",COUNTIFS(Orders_Log!$C:$C,$A948,Orders_Log!$P:$P,"Returned to Picker"))</f>
        <v/>
      </c>
    </row>
    <row r="949">
      <c r="B949">
        <f>IF($A949="","",COUNTIFS(Orders_Log!$C:$C,$A949,Orders_Log!$B:$B,"&lt;&gt;"))</f>
        <v/>
      </c>
      <c r="C949">
        <f>IF($A949="","",COUNTIFS(Orders_Log!$C:$C,$A949,Orders_Log!$M:$M,"Yes"))</f>
        <v/>
      </c>
      <c r="D949" s="5">
        <f>IF(B949=0,0,C949/B949)</f>
        <v/>
      </c>
      <c r="E949">
        <f>IF($A949="","",SUMIFS(Orders_Log!$I:$I,Orders_Log!$C:$C,$A949))</f>
        <v/>
      </c>
      <c r="F949">
        <f>IF(B949=0,0,E949/B949)</f>
        <v/>
      </c>
      <c r="G949">
        <f>IF($A949="","",IFERROR(AVERAGEIFS(Orders_Log!$H:$H,Orders_Log!$C:$C,$A949,Orders_Log!$H:$H,"&gt;0"),0))</f>
        <v/>
      </c>
      <c r="H949">
        <f>IF($A949="","",COUNTIFS(Orders_Log!$C:$C,$A949,Orders_Log!$P:$P,"Returned to Picker"))</f>
        <v/>
      </c>
    </row>
    <row r="950">
      <c r="B950">
        <f>IF($A950="","",COUNTIFS(Orders_Log!$C:$C,$A950,Orders_Log!$B:$B,"&lt;&gt;"))</f>
        <v/>
      </c>
      <c r="C950">
        <f>IF($A950="","",COUNTIFS(Orders_Log!$C:$C,$A950,Orders_Log!$M:$M,"Yes"))</f>
        <v/>
      </c>
      <c r="D950" s="5">
        <f>IF(B950=0,0,C950/B950)</f>
        <v/>
      </c>
      <c r="E950">
        <f>IF($A950="","",SUMIFS(Orders_Log!$I:$I,Orders_Log!$C:$C,$A950))</f>
        <v/>
      </c>
      <c r="F950">
        <f>IF(B950=0,0,E950/B950)</f>
        <v/>
      </c>
      <c r="G950">
        <f>IF($A950="","",IFERROR(AVERAGEIFS(Orders_Log!$H:$H,Orders_Log!$C:$C,$A950,Orders_Log!$H:$H,"&gt;0"),0))</f>
        <v/>
      </c>
      <c r="H950">
        <f>IF($A950="","",COUNTIFS(Orders_Log!$C:$C,$A950,Orders_Log!$P:$P,"Returned to Picker"))</f>
        <v/>
      </c>
    </row>
    <row r="951">
      <c r="B951">
        <f>IF($A951="","",COUNTIFS(Orders_Log!$C:$C,$A951,Orders_Log!$B:$B,"&lt;&gt;"))</f>
        <v/>
      </c>
      <c r="C951">
        <f>IF($A951="","",COUNTIFS(Orders_Log!$C:$C,$A951,Orders_Log!$M:$M,"Yes"))</f>
        <v/>
      </c>
      <c r="D951" s="5">
        <f>IF(B951=0,0,C951/B951)</f>
        <v/>
      </c>
      <c r="E951">
        <f>IF($A951="","",SUMIFS(Orders_Log!$I:$I,Orders_Log!$C:$C,$A951))</f>
        <v/>
      </c>
      <c r="F951">
        <f>IF(B951=0,0,E951/B951)</f>
        <v/>
      </c>
      <c r="G951">
        <f>IF($A951="","",IFERROR(AVERAGEIFS(Orders_Log!$H:$H,Orders_Log!$C:$C,$A951,Orders_Log!$H:$H,"&gt;0"),0))</f>
        <v/>
      </c>
      <c r="H951">
        <f>IF($A951="","",COUNTIFS(Orders_Log!$C:$C,$A951,Orders_Log!$P:$P,"Returned to Picker"))</f>
        <v/>
      </c>
    </row>
    <row r="952">
      <c r="B952">
        <f>IF($A952="","",COUNTIFS(Orders_Log!$C:$C,$A952,Orders_Log!$B:$B,"&lt;&gt;"))</f>
        <v/>
      </c>
      <c r="C952">
        <f>IF($A952="","",COUNTIFS(Orders_Log!$C:$C,$A952,Orders_Log!$M:$M,"Yes"))</f>
        <v/>
      </c>
      <c r="D952" s="5">
        <f>IF(B952=0,0,C952/B952)</f>
        <v/>
      </c>
      <c r="E952">
        <f>IF($A952="","",SUMIFS(Orders_Log!$I:$I,Orders_Log!$C:$C,$A952))</f>
        <v/>
      </c>
      <c r="F952">
        <f>IF(B952=0,0,E952/B952)</f>
        <v/>
      </c>
      <c r="G952">
        <f>IF($A952="","",IFERROR(AVERAGEIFS(Orders_Log!$H:$H,Orders_Log!$C:$C,$A952,Orders_Log!$H:$H,"&gt;0"),0))</f>
        <v/>
      </c>
      <c r="H952">
        <f>IF($A952="","",COUNTIFS(Orders_Log!$C:$C,$A952,Orders_Log!$P:$P,"Returned to Picker"))</f>
        <v/>
      </c>
    </row>
    <row r="953">
      <c r="B953">
        <f>IF($A953="","",COUNTIFS(Orders_Log!$C:$C,$A953,Orders_Log!$B:$B,"&lt;&gt;"))</f>
        <v/>
      </c>
      <c r="C953">
        <f>IF($A953="","",COUNTIFS(Orders_Log!$C:$C,$A953,Orders_Log!$M:$M,"Yes"))</f>
        <v/>
      </c>
      <c r="D953" s="5">
        <f>IF(B953=0,0,C953/B953)</f>
        <v/>
      </c>
      <c r="E953">
        <f>IF($A953="","",SUMIFS(Orders_Log!$I:$I,Orders_Log!$C:$C,$A953))</f>
        <v/>
      </c>
      <c r="F953">
        <f>IF(B953=0,0,E953/B953)</f>
        <v/>
      </c>
      <c r="G953">
        <f>IF($A953="","",IFERROR(AVERAGEIFS(Orders_Log!$H:$H,Orders_Log!$C:$C,$A953,Orders_Log!$H:$H,"&gt;0"),0))</f>
        <v/>
      </c>
      <c r="H953">
        <f>IF($A953="","",COUNTIFS(Orders_Log!$C:$C,$A953,Orders_Log!$P:$P,"Returned to Picker"))</f>
        <v/>
      </c>
    </row>
    <row r="954">
      <c r="B954">
        <f>IF($A954="","",COUNTIFS(Orders_Log!$C:$C,$A954,Orders_Log!$B:$B,"&lt;&gt;"))</f>
        <v/>
      </c>
      <c r="C954">
        <f>IF($A954="","",COUNTIFS(Orders_Log!$C:$C,$A954,Orders_Log!$M:$M,"Yes"))</f>
        <v/>
      </c>
      <c r="D954" s="5">
        <f>IF(B954=0,0,C954/B954)</f>
        <v/>
      </c>
      <c r="E954">
        <f>IF($A954="","",SUMIFS(Orders_Log!$I:$I,Orders_Log!$C:$C,$A954))</f>
        <v/>
      </c>
      <c r="F954">
        <f>IF(B954=0,0,E954/B954)</f>
        <v/>
      </c>
      <c r="G954">
        <f>IF($A954="","",IFERROR(AVERAGEIFS(Orders_Log!$H:$H,Orders_Log!$C:$C,$A954,Orders_Log!$H:$H,"&gt;0"),0))</f>
        <v/>
      </c>
      <c r="H954">
        <f>IF($A954="","",COUNTIFS(Orders_Log!$C:$C,$A954,Orders_Log!$P:$P,"Returned to Picker"))</f>
        <v/>
      </c>
    </row>
    <row r="955">
      <c r="B955">
        <f>IF($A955="","",COUNTIFS(Orders_Log!$C:$C,$A955,Orders_Log!$B:$B,"&lt;&gt;"))</f>
        <v/>
      </c>
      <c r="C955">
        <f>IF($A955="","",COUNTIFS(Orders_Log!$C:$C,$A955,Orders_Log!$M:$M,"Yes"))</f>
        <v/>
      </c>
      <c r="D955" s="5">
        <f>IF(B955=0,0,C955/B955)</f>
        <v/>
      </c>
      <c r="E955">
        <f>IF($A955="","",SUMIFS(Orders_Log!$I:$I,Orders_Log!$C:$C,$A955))</f>
        <v/>
      </c>
      <c r="F955">
        <f>IF(B955=0,0,E955/B955)</f>
        <v/>
      </c>
      <c r="G955">
        <f>IF($A955="","",IFERROR(AVERAGEIFS(Orders_Log!$H:$H,Orders_Log!$C:$C,$A955,Orders_Log!$H:$H,"&gt;0"),0))</f>
        <v/>
      </c>
      <c r="H955">
        <f>IF($A955="","",COUNTIFS(Orders_Log!$C:$C,$A955,Orders_Log!$P:$P,"Returned to Picker"))</f>
        <v/>
      </c>
    </row>
    <row r="956">
      <c r="B956">
        <f>IF($A956="","",COUNTIFS(Orders_Log!$C:$C,$A956,Orders_Log!$B:$B,"&lt;&gt;"))</f>
        <v/>
      </c>
      <c r="C956">
        <f>IF($A956="","",COUNTIFS(Orders_Log!$C:$C,$A956,Orders_Log!$M:$M,"Yes"))</f>
        <v/>
      </c>
      <c r="D956" s="5">
        <f>IF(B956=0,0,C956/B956)</f>
        <v/>
      </c>
      <c r="E956">
        <f>IF($A956="","",SUMIFS(Orders_Log!$I:$I,Orders_Log!$C:$C,$A956))</f>
        <v/>
      </c>
      <c r="F956">
        <f>IF(B956=0,0,E956/B956)</f>
        <v/>
      </c>
      <c r="G956">
        <f>IF($A956="","",IFERROR(AVERAGEIFS(Orders_Log!$H:$H,Orders_Log!$C:$C,$A956,Orders_Log!$H:$H,"&gt;0"),0))</f>
        <v/>
      </c>
      <c r="H956">
        <f>IF($A956="","",COUNTIFS(Orders_Log!$C:$C,$A956,Orders_Log!$P:$P,"Returned to Picker"))</f>
        <v/>
      </c>
    </row>
    <row r="957">
      <c r="B957">
        <f>IF($A957="","",COUNTIFS(Orders_Log!$C:$C,$A957,Orders_Log!$B:$B,"&lt;&gt;"))</f>
        <v/>
      </c>
      <c r="C957">
        <f>IF($A957="","",COUNTIFS(Orders_Log!$C:$C,$A957,Orders_Log!$M:$M,"Yes"))</f>
        <v/>
      </c>
      <c r="D957" s="5">
        <f>IF(B957=0,0,C957/B957)</f>
        <v/>
      </c>
      <c r="E957">
        <f>IF($A957="","",SUMIFS(Orders_Log!$I:$I,Orders_Log!$C:$C,$A957))</f>
        <v/>
      </c>
      <c r="F957">
        <f>IF(B957=0,0,E957/B957)</f>
        <v/>
      </c>
      <c r="G957">
        <f>IF($A957="","",IFERROR(AVERAGEIFS(Orders_Log!$H:$H,Orders_Log!$C:$C,$A957,Orders_Log!$H:$H,"&gt;0"),0))</f>
        <v/>
      </c>
      <c r="H957">
        <f>IF($A957="","",COUNTIFS(Orders_Log!$C:$C,$A957,Orders_Log!$P:$P,"Returned to Picker"))</f>
        <v/>
      </c>
    </row>
    <row r="958">
      <c r="B958">
        <f>IF($A958="","",COUNTIFS(Orders_Log!$C:$C,$A958,Orders_Log!$B:$B,"&lt;&gt;"))</f>
        <v/>
      </c>
      <c r="C958">
        <f>IF($A958="","",COUNTIFS(Orders_Log!$C:$C,$A958,Orders_Log!$M:$M,"Yes"))</f>
        <v/>
      </c>
      <c r="D958" s="5">
        <f>IF(B958=0,0,C958/B958)</f>
        <v/>
      </c>
      <c r="E958">
        <f>IF($A958="","",SUMIFS(Orders_Log!$I:$I,Orders_Log!$C:$C,$A958))</f>
        <v/>
      </c>
      <c r="F958">
        <f>IF(B958=0,0,E958/B958)</f>
        <v/>
      </c>
      <c r="G958">
        <f>IF($A958="","",IFERROR(AVERAGEIFS(Orders_Log!$H:$H,Orders_Log!$C:$C,$A958,Orders_Log!$H:$H,"&gt;0"),0))</f>
        <v/>
      </c>
      <c r="H958">
        <f>IF($A958="","",COUNTIFS(Orders_Log!$C:$C,$A958,Orders_Log!$P:$P,"Returned to Picker"))</f>
        <v/>
      </c>
    </row>
    <row r="959">
      <c r="B959">
        <f>IF($A959="","",COUNTIFS(Orders_Log!$C:$C,$A959,Orders_Log!$B:$B,"&lt;&gt;"))</f>
        <v/>
      </c>
      <c r="C959">
        <f>IF($A959="","",COUNTIFS(Orders_Log!$C:$C,$A959,Orders_Log!$M:$M,"Yes"))</f>
        <v/>
      </c>
      <c r="D959" s="5">
        <f>IF(B959=0,0,C959/B959)</f>
        <v/>
      </c>
      <c r="E959">
        <f>IF($A959="","",SUMIFS(Orders_Log!$I:$I,Orders_Log!$C:$C,$A959))</f>
        <v/>
      </c>
      <c r="F959">
        <f>IF(B959=0,0,E959/B959)</f>
        <v/>
      </c>
      <c r="G959">
        <f>IF($A959="","",IFERROR(AVERAGEIFS(Orders_Log!$H:$H,Orders_Log!$C:$C,$A959,Orders_Log!$H:$H,"&gt;0"),0))</f>
        <v/>
      </c>
      <c r="H959">
        <f>IF($A959="","",COUNTIFS(Orders_Log!$C:$C,$A959,Orders_Log!$P:$P,"Returned to Picker"))</f>
        <v/>
      </c>
    </row>
    <row r="960">
      <c r="B960">
        <f>IF($A960="","",COUNTIFS(Orders_Log!$C:$C,$A960,Orders_Log!$B:$B,"&lt;&gt;"))</f>
        <v/>
      </c>
      <c r="C960">
        <f>IF($A960="","",COUNTIFS(Orders_Log!$C:$C,$A960,Orders_Log!$M:$M,"Yes"))</f>
        <v/>
      </c>
      <c r="D960" s="5">
        <f>IF(B960=0,0,C960/B960)</f>
        <v/>
      </c>
      <c r="E960">
        <f>IF($A960="","",SUMIFS(Orders_Log!$I:$I,Orders_Log!$C:$C,$A960))</f>
        <v/>
      </c>
      <c r="F960">
        <f>IF(B960=0,0,E960/B960)</f>
        <v/>
      </c>
      <c r="G960">
        <f>IF($A960="","",IFERROR(AVERAGEIFS(Orders_Log!$H:$H,Orders_Log!$C:$C,$A960,Orders_Log!$H:$H,"&gt;0"),0))</f>
        <v/>
      </c>
      <c r="H960">
        <f>IF($A960="","",COUNTIFS(Orders_Log!$C:$C,$A960,Orders_Log!$P:$P,"Returned to Picker"))</f>
        <v/>
      </c>
    </row>
    <row r="961">
      <c r="B961">
        <f>IF($A961="","",COUNTIFS(Orders_Log!$C:$C,$A961,Orders_Log!$B:$B,"&lt;&gt;"))</f>
        <v/>
      </c>
      <c r="C961">
        <f>IF($A961="","",COUNTIFS(Orders_Log!$C:$C,$A961,Orders_Log!$M:$M,"Yes"))</f>
        <v/>
      </c>
      <c r="D961" s="5">
        <f>IF(B961=0,0,C961/B961)</f>
        <v/>
      </c>
      <c r="E961">
        <f>IF($A961="","",SUMIFS(Orders_Log!$I:$I,Orders_Log!$C:$C,$A961))</f>
        <v/>
      </c>
      <c r="F961">
        <f>IF(B961=0,0,E961/B961)</f>
        <v/>
      </c>
      <c r="G961">
        <f>IF($A961="","",IFERROR(AVERAGEIFS(Orders_Log!$H:$H,Orders_Log!$C:$C,$A961,Orders_Log!$H:$H,"&gt;0"),0))</f>
        <v/>
      </c>
      <c r="H961">
        <f>IF($A961="","",COUNTIFS(Orders_Log!$C:$C,$A961,Orders_Log!$P:$P,"Returned to Picker"))</f>
        <v/>
      </c>
    </row>
    <row r="962">
      <c r="B962">
        <f>IF($A962="","",COUNTIFS(Orders_Log!$C:$C,$A962,Orders_Log!$B:$B,"&lt;&gt;"))</f>
        <v/>
      </c>
      <c r="C962">
        <f>IF($A962="","",COUNTIFS(Orders_Log!$C:$C,$A962,Orders_Log!$M:$M,"Yes"))</f>
        <v/>
      </c>
      <c r="D962" s="5">
        <f>IF(B962=0,0,C962/B962)</f>
        <v/>
      </c>
      <c r="E962">
        <f>IF($A962="","",SUMIFS(Orders_Log!$I:$I,Orders_Log!$C:$C,$A962))</f>
        <v/>
      </c>
      <c r="F962">
        <f>IF(B962=0,0,E962/B962)</f>
        <v/>
      </c>
      <c r="G962">
        <f>IF($A962="","",IFERROR(AVERAGEIFS(Orders_Log!$H:$H,Orders_Log!$C:$C,$A962,Orders_Log!$H:$H,"&gt;0"),0))</f>
        <v/>
      </c>
      <c r="H962">
        <f>IF($A962="","",COUNTIFS(Orders_Log!$C:$C,$A962,Orders_Log!$P:$P,"Returned to Picker"))</f>
        <v/>
      </c>
    </row>
    <row r="963">
      <c r="B963">
        <f>IF($A963="","",COUNTIFS(Orders_Log!$C:$C,$A963,Orders_Log!$B:$B,"&lt;&gt;"))</f>
        <v/>
      </c>
      <c r="C963">
        <f>IF($A963="","",COUNTIFS(Orders_Log!$C:$C,$A963,Orders_Log!$M:$M,"Yes"))</f>
        <v/>
      </c>
      <c r="D963" s="5">
        <f>IF(B963=0,0,C963/B963)</f>
        <v/>
      </c>
      <c r="E963">
        <f>IF($A963="","",SUMIFS(Orders_Log!$I:$I,Orders_Log!$C:$C,$A963))</f>
        <v/>
      </c>
      <c r="F963">
        <f>IF(B963=0,0,E963/B963)</f>
        <v/>
      </c>
      <c r="G963">
        <f>IF($A963="","",IFERROR(AVERAGEIFS(Orders_Log!$H:$H,Orders_Log!$C:$C,$A963,Orders_Log!$H:$H,"&gt;0"),0))</f>
        <v/>
      </c>
      <c r="H963">
        <f>IF($A963="","",COUNTIFS(Orders_Log!$C:$C,$A963,Orders_Log!$P:$P,"Returned to Picker"))</f>
        <v/>
      </c>
    </row>
    <row r="964">
      <c r="B964">
        <f>IF($A964="","",COUNTIFS(Orders_Log!$C:$C,$A964,Orders_Log!$B:$B,"&lt;&gt;"))</f>
        <v/>
      </c>
      <c r="C964">
        <f>IF($A964="","",COUNTIFS(Orders_Log!$C:$C,$A964,Orders_Log!$M:$M,"Yes"))</f>
        <v/>
      </c>
      <c r="D964" s="5">
        <f>IF(B964=0,0,C964/B964)</f>
        <v/>
      </c>
      <c r="E964">
        <f>IF($A964="","",SUMIFS(Orders_Log!$I:$I,Orders_Log!$C:$C,$A964))</f>
        <v/>
      </c>
      <c r="F964">
        <f>IF(B964=0,0,E964/B964)</f>
        <v/>
      </c>
      <c r="G964">
        <f>IF($A964="","",IFERROR(AVERAGEIFS(Orders_Log!$H:$H,Orders_Log!$C:$C,$A964,Orders_Log!$H:$H,"&gt;0"),0))</f>
        <v/>
      </c>
      <c r="H964">
        <f>IF($A964="","",COUNTIFS(Orders_Log!$C:$C,$A964,Orders_Log!$P:$P,"Returned to Picker"))</f>
        <v/>
      </c>
    </row>
    <row r="965">
      <c r="B965">
        <f>IF($A965="","",COUNTIFS(Orders_Log!$C:$C,$A965,Orders_Log!$B:$B,"&lt;&gt;"))</f>
        <v/>
      </c>
      <c r="C965">
        <f>IF($A965="","",COUNTIFS(Orders_Log!$C:$C,$A965,Orders_Log!$M:$M,"Yes"))</f>
        <v/>
      </c>
      <c r="D965" s="5">
        <f>IF(B965=0,0,C965/B965)</f>
        <v/>
      </c>
      <c r="E965">
        <f>IF($A965="","",SUMIFS(Orders_Log!$I:$I,Orders_Log!$C:$C,$A965))</f>
        <v/>
      </c>
      <c r="F965">
        <f>IF(B965=0,0,E965/B965)</f>
        <v/>
      </c>
      <c r="G965">
        <f>IF($A965="","",IFERROR(AVERAGEIFS(Orders_Log!$H:$H,Orders_Log!$C:$C,$A965,Orders_Log!$H:$H,"&gt;0"),0))</f>
        <v/>
      </c>
      <c r="H965">
        <f>IF($A965="","",COUNTIFS(Orders_Log!$C:$C,$A965,Orders_Log!$P:$P,"Returned to Picker"))</f>
        <v/>
      </c>
    </row>
    <row r="966">
      <c r="B966">
        <f>IF($A966="","",COUNTIFS(Orders_Log!$C:$C,$A966,Orders_Log!$B:$B,"&lt;&gt;"))</f>
        <v/>
      </c>
      <c r="C966">
        <f>IF($A966="","",COUNTIFS(Orders_Log!$C:$C,$A966,Orders_Log!$M:$M,"Yes"))</f>
        <v/>
      </c>
      <c r="D966" s="5">
        <f>IF(B966=0,0,C966/B966)</f>
        <v/>
      </c>
      <c r="E966">
        <f>IF($A966="","",SUMIFS(Orders_Log!$I:$I,Orders_Log!$C:$C,$A966))</f>
        <v/>
      </c>
      <c r="F966">
        <f>IF(B966=0,0,E966/B966)</f>
        <v/>
      </c>
      <c r="G966">
        <f>IF($A966="","",IFERROR(AVERAGEIFS(Orders_Log!$H:$H,Orders_Log!$C:$C,$A966,Orders_Log!$H:$H,"&gt;0"),0))</f>
        <v/>
      </c>
      <c r="H966">
        <f>IF($A966="","",COUNTIFS(Orders_Log!$C:$C,$A966,Orders_Log!$P:$P,"Returned to Picker"))</f>
        <v/>
      </c>
    </row>
    <row r="967">
      <c r="B967">
        <f>IF($A967="","",COUNTIFS(Orders_Log!$C:$C,$A967,Orders_Log!$B:$B,"&lt;&gt;"))</f>
        <v/>
      </c>
      <c r="C967">
        <f>IF($A967="","",COUNTIFS(Orders_Log!$C:$C,$A967,Orders_Log!$M:$M,"Yes"))</f>
        <v/>
      </c>
      <c r="D967" s="5">
        <f>IF(B967=0,0,C967/B967)</f>
        <v/>
      </c>
      <c r="E967">
        <f>IF($A967="","",SUMIFS(Orders_Log!$I:$I,Orders_Log!$C:$C,$A967))</f>
        <v/>
      </c>
      <c r="F967">
        <f>IF(B967=0,0,E967/B967)</f>
        <v/>
      </c>
      <c r="G967">
        <f>IF($A967="","",IFERROR(AVERAGEIFS(Orders_Log!$H:$H,Orders_Log!$C:$C,$A967,Orders_Log!$H:$H,"&gt;0"),0))</f>
        <v/>
      </c>
      <c r="H967">
        <f>IF($A967="","",COUNTIFS(Orders_Log!$C:$C,$A967,Orders_Log!$P:$P,"Returned to Picker"))</f>
        <v/>
      </c>
    </row>
    <row r="968">
      <c r="B968">
        <f>IF($A968="","",COUNTIFS(Orders_Log!$C:$C,$A968,Orders_Log!$B:$B,"&lt;&gt;"))</f>
        <v/>
      </c>
      <c r="C968">
        <f>IF($A968="","",COUNTIFS(Orders_Log!$C:$C,$A968,Orders_Log!$M:$M,"Yes"))</f>
        <v/>
      </c>
      <c r="D968" s="5">
        <f>IF(B968=0,0,C968/B968)</f>
        <v/>
      </c>
      <c r="E968">
        <f>IF($A968="","",SUMIFS(Orders_Log!$I:$I,Orders_Log!$C:$C,$A968))</f>
        <v/>
      </c>
      <c r="F968">
        <f>IF(B968=0,0,E968/B968)</f>
        <v/>
      </c>
      <c r="G968">
        <f>IF($A968="","",IFERROR(AVERAGEIFS(Orders_Log!$H:$H,Orders_Log!$C:$C,$A968,Orders_Log!$H:$H,"&gt;0"),0))</f>
        <v/>
      </c>
      <c r="H968">
        <f>IF($A968="","",COUNTIFS(Orders_Log!$C:$C,$A968,Orders_Log!$P:$P,"Returned to Picker"))</f>
        <v/>
      </c>
    </row>
    <row r="969">
      <c r="B969">
        <f>IF($A969="","",COUNTIFS(Orders_Log!$C:$C,$A969,Orders_Log!$B:$B,"&lt;&gt;"))</f>
        <v/>
      </c>
      <c r="C969">
        <f>IF($A969="","",COUNTIFS(Orders_Log!$C:$C,$A969,Orders_Log!$M:$M,"Yes"))</f>
        <v/>
      </c>
      <c r="D969" s="5">
        <f>IF(B969=0,0,C969/B969)</f>
        <v/>
      </c>
      <c r="E969">
        <f>IF($A969="","",SUMIFS(Orders_Log!$I:$I,Orders_Log!$C:$C,$A969))</f>
        <v/>
      </c>
      <c r="F969">
        <f>IF(B969=0,0,E969/B969)</f>
        <v/>
      </c>
      <c r="G969">
        <f>IF($A969="","",IFERROR(AVERAGEIFS(Orders_Log!$H:$H,Orders_Log!$C:$C,$A969,Orders_Log!$H:$H,"&gt;0"),0))</f>
        <v/>
      </c>
      <c r="H969">
        <f>IF($A969="","",COUNTIFS(Orders_Log!$C:$C,$A969,Orders_Log!$P:$P,"Returned to Picker"))</f>
        <v/>
      </c>
    </row>
    <row r="970">
      <c r="B970">
        <f>IF($A970="","",COUNTIFS(Orders_Log!$C:$C,$A970,Orders_Log!$B:$B,"&lt;&gt;"))</f>
        <v/>
      </c>
      <c r="C970">
        <f>IF($A970="","",COUNTIFS(Orders_Log!$C:$C,$A970,Orders_Log!$M:$M,"Yes"))</f>
        <v/>
      </c>
      <c r="D970" s="5">
        <f>IF(B970=0,0,C970/B970)</f>
        <v/>
      </c>
      <c r="E970">
        <f>IF($A970="","",SUMIFS(Orders_Log!$I:$I,Orders_Log!$C:$C,$A970))</f>
        <v/>
      </c>
      <c r="F970">
        <f>IF(B970=0,0,E970/B970)</f>
        <v/>
      </c>
      <c r="G970">
        <f>IF($A970="","",IFERROR(AVERAGEIFS(Orders_Log!$H:$H,Orders_Log!$C:$C,$A970,Orders_Log!$H:$H,"&gt;0"),0))</f>
        <v/>
      </c>
      <c r="H970">
        <f>IF($A970="","",COUNTIFS(Orders_Log!$C:$C,$A970,Orders_Log!$P:$P,"Returned to Picker"))</f>
        <v/>
      </c>
    </row>
    <row r="971">
      <c r="B971">
        <f>IF($A971="","",COUNTIFS(Orders_Log!$C:$C,$A971,Orders_Log!$B:$B,"&lt;&gt;"))</f>
        <v/>
      </c>
      <c r="C971">
        <f>IF($A971="","",COUNTIFS(Orders_Log!$C:$C,$A971,Orders_Log!$M:$M,"Yes"))</f>
        <v/>
      </c>
      <c r="D971" s="5">
        <f>IF(B971=0,0,C971/B971)</f>
        <v/>
      </c>
      <c r="E971">
        <f>IF($A971="","",SUMIFS(Orders_Log!$I:$I,Orders_Log!$C:$C,$A971))</f>
        <v/>
      </c>
      <c r="F971">
        <f>IF(B971=0,0,E971/B971)</f>
        <v/>
      </c>
      <c r="G971">
        <f>IF($A971="","",IFERROR(AVERAGEIFS(Orders_Log!$H:$H,Orders_Log!$C:$C,$A971,Orders_Log!$H:$H,"&gt;0"),0))</f>
        <v/>
      </c>
      <c r="H971">
        <f>IF($A971="","",COUNTIFS(Orders_Log!$C:$C,$A971,Orders_Log!$P:$P,"Returned to Picker"))</f>
        <v/>
      </c>
    </row>
    <row r="972">
      <c r="B972">
        <f>IF($A972="","",COUNTIFS(Orders_Log!$C:$C,$A972,Orders_Log!$B:$B,"&lt;&gt;"))</f>
        <v/>
      </c>
      <c r="C972">
        <f>IF($A972="","",COUNTIFS(Orders_Log!$C:$C,$A972,Orders_Log!$M:$M,"Yes"))</f>
        <v/>
      </c>
      <c r="D972" s="5">
        <f>IF(B972=0,0,C972/B972)</f>
        <v/>
      </c>
      <c r="E972">
        <f>IF($A972="","",SUMIFS(Orders_Log!$I:$I,Orders_Log!$C:$C,$A972))</f>
        <v/>
      </c>
      <c r="F972">
        <f>IF(B972=0,0,E972/B972)</f>
        <v/>
      </c>
      <c r="G972">
        <f>IF($A972="","",IFERROR(AVERAGEIFS(Orders_Log!$H:$H,Orders_Log!$C:$C,$A972,Orders_Log!$H:$H,"&gt;0"),0))</f>
        <v/>
      </c>
      <c r="H972">
        <f>IF($A972="","",COUNTIFS(Orders_Log!$C:$C,$A972,Orders_Log!$P:$P,"Returned to Picker"))</f>
        <v/>
      </c>
    </row>
    <row r="973">
      <c r="B973">
        <f>IF($A973="","",COUNTIFS(Orders_Log!$C:$C,$A973,Orders_Log!$B:$B,"&lt;&gt;"))</f>
        <v/>
      </c>
      <c r="C973">
        <f>IF($A973="","",COUNTIFS(Orders_Log!$C:$C,$A973,Orders_Log!$M:$M,"Yes"))</f>
        <v/>
      </c>
      <c r="D973" s="5">
        <f>IF(B973=0,0,C973/B973)</f>
        <v/>
      </c>
      <c r="E973">
        <f>IF($A973="","",SUMIFS(Orders_Log!$I:$I,Orders_Log!$C:$C,$A973))</f>
        <v/>
      </c>
      <c r="F973">
        <f>IF(B973=0,0,E973/B973)</f>
        <v/>
      </c>
      <c r="G973">
        <f>IF($A973="","",IFERROR(AVERAGEIFS(Orders_Log!$H:$H,Orders_Log!$C:$C,$A973,Orders_Log!$H:$H,"&gt;0"),0))</f>
        <v/>
      </c>
      <c r="H973">
        <f>IF($A973="","",COUNTIFS(Orders_Log!$C:$C,$A973,Orders_Log!$P:$P,"Returned to Picker"))</f>
        <v/>
      </c>
    </row>
    <row r="974">
      <c r="B974">
        <f>IF($A974="","",COUNTIFS(Orders_Log!$C:$C,$A974,Orders_Log!$B:$B,"&lt;&gt;"))</f>
        <v/>
      </c>
      <c r="C974">
        <f>IF($A974="","",COUNTIFS(Orders_Log!$C:$C,$A974,Orders_Log!$M:$M,"Yes"))</f>
        <v/>
      </c>
      <c r="D974" s="5">
        <f>IF(B974=0,0,C974/B974)</f>
        <v/>
      </c>
      <c r="E974">
        <f>IF($A974="","",SUMIFS(Orders_Log!$I:$I,Orders_Log!$C:$C,$A974))</f>
        <v/>
      </c>
      <c r="F974">
        <f>IF(B974=0,0,E974/B974)</f>
        <v/>
      </c>
      <c r="G974">
        <f>IF($A974="","",IFERROR(AVERAGEIFS(Orders_Log!$H:$H,Orders_Log!$C:$C,$A974,Orders_Log!$H:$H,"&gt;0"),0))</f>
        <v/>
      </c>
      <c r="H974">
        <f>IF($A974="","",COUNTIFS(Orders_Log!$C:$C,$A974,Orders_Log!$P:$P,"Returned to Picker"))</f>
        <v/>
      </c>
    </row>
    <row r="975">
      <c r="B975">
        <f>IF($A975="","",COUNTIFS(Orders_Log!$C:$C,$A975,Orders_Log!$B:$B,"&lt;&gt;"))</f>
        <v/>
      </c>
      <c r="C975">
        <f>IF($A975="","",COUNTIFS(Orders_Log!$C:$C,$A975,Orders_Log!$M:$M,"Yes"))</f>
        <v/>
      </c>
      <c r="D975" s="5">
        <f>IF(B975=0,0,C975/B975)</f>
        <v/>
      </c>
      <c r="E975">
        <f>IF($A975="","",SUMIFS(Orders_Log!$I:$I,Orders_Log!$C:$C,$A975))</f>
        <v/>
      </c>
      <c r="F975">
        <f>IF(B975=0,0,E975/B975)</f>
        <v/>
      </c>
      <c r="G975">
        <f>IF($A975="","",IFERROR(AVERAGEIFS(Orders_Log!$H:$H,Orders_Log!$C:$C,$A975,Orders_Log!$H:$H,"&gt;0"),0))</f>
        <v/>
      </c>
      <c r="H975">
        <f>IF($A975="","",COUNTIFS(Orders_Log!$C:$C,$A975,Orders_Log!$P:$P,"Returned to Picker"))</f>
        <v/>
      </c>
    </row>
    <row r="976">
      <c r="B976">
        <f>IF($A976="","",COUNTIFS(Orders_Log!$C:$C,$A976,Orders_Log!$B:$B,"&lt;&gt;"))</f>
        <v/>
      </c>
      <c r="C976">
        <f>IF($A976="","",COUNTIFS(Orders_Log!$C:$C,$A976,Orders_Log!$M:$M,"Yes"))</f>
        <v/>
      </c>
      <c r="D976" s="5">
        <f>IF(B976=0,0,C976/B976)</f>
        <v/>
      </c>
      <c r="E976">
        <f>IF($A976="","",SUMIFS(Orders_Log!$I:$I,Orders_Log!$C:$C,$A976))</f>
        <v/>
      </c>
      <c r="F976">
        <f>IF(B976=0,0,E976/B976)</f>
        <v/>
      </c>
      <c r="G976">
        <f>IF($A976="","",IFERROR(AVERAGEIFS(Orders_Log!$H:$H,Orders_Log!$C:$C,$A976,Orders_Log!$H:$H,"&gt;0"),0))</f>
        <v/>
      </c>
      <c r="H976">
        <f>IF($A976="","",COUNTIFS(Orders_Log!$C:$C,$A976,Orders_Log!$P:$P,"Returned to Picker"))</f>
        <v/>
      </c>
    </row>
    <row r="977">
      <c r="B977">
        <f>IF($A977="","",COUNTIFS(Orders_Log!$C:$C,$A977,Orders_Log!$B:$B,"&lt;&gt;"))</f>
        <v/>
      </c>
      <c r="C977">
        <f>IF($A977="","",COUNTIFS(Orders_Log!$C:$C,$A977,Orders_Log!$M:$M,"Yes"))</f>
        <v/>
      </c>
      <c r="D977" s="5">
        <f>IF(B977=0,0,C977/B977)</f>
        <v/>
      </c>
      <c r="E977">
        <f>IF($A977="","",SUMIFS(Orders_Log!$I:$I,Orders_Log!$C:$C,$A977))</f>
        <v/>
      </c>
      <c r="F977">
        <f>IF(B977=0,0,E977/B977)</f>
        <v/>
      </c>
      <c r="G977">
        <f>IF($A977="","",IFERROR(AVERAGEIFS(Orders_Log!$H:$H,Orders_Log!$C:$C,$A977,Orders_Log!$H:$H,"&gt;0"),0))</f>
        <v/>
      </c>
      <c r="H977">
        <f>IF($A977="","",COUNTIFS(Orders_Log!$C:$C,$A977,Orders_Log!$P:$P,"Returned to Picker"))</f>
        <v/>
      </c>
    </row>
    <row r="978">
      <c r="B978">
        <f>IF($A978="","",COUNTIFS(Orders_Log!$C:$C,$A978,Orders_Log!$B:$B,"&lt;&gt;"))</f>
        <v/>
      </c>
      <c r="C978">
        <f>IF($A978="","",COUNTIFS(Orders_Log!$C:$C,$A978,Orders_Log!$M:$M,"Yes"))</f>
        <v/>
      </c>
      <c r="D978" s="5">
        <f>IF(B978=0,0,C978/B978)</f>
        <v/>
      </c>
      <c r="E978">
        <f>IF($A978="","",SUMIFS(Orders_Log!$I:$I,Orders_Log!$C:$C,$A978))</f>
        <v/>
      </c>
      <c r="F978">
        <f>IF(B978=0,0,E978/B978)</f>
        <v/>
      </c>
      <c r="G978">
        <f>IF($A978="","",IFERROR(AVERAGEIFS(Orders_Log!$H:$H,Orders_Log!$C:$C,$A978,Orders_Log!$H:$H,"&gt;0"),0))</f>
        <v/>
      </c>
      <c r="H978">
        <f>IF($A978="","",COUNTIFS(Orders_Log!$C:$C,$A978,Orders_Log!$P:$P,"Returned to Picker"))</f>
        <v/>
      </c>
    </row>
    <row r="979">
      <c r="B979">
        <f>IF($A979="","",COUNTIFS(Orders_Log!$C:$C,$A979,Orders_Log!$B:$B,"&lt;&gt;"))</f>
        <v/>
      </c>
      <c r="C979">
        <f>IF($A979="","",COUNTIFS(Orders_Log!$C:$C,$A979,Orders_Log!$M:$M,"Yes"))</f>
        <v/>
      </c>
      <c r="D979" s="5">
        <f>IF(B979=0,0,C979/B979)</f>
        <v/>
      </c>
      <c r="E979">
        <f>IF($A979="","",SUMIFS(Orders_Log!$I:$I,Orders_Log!$C:$C,$A979))</f>
        <v/>
      </c>
      <c r="F979">
        <f>IF(B979=0,0,E979/B979)</f>
        <v/>
      </c>
      <c r="G979">
        <f>IF($A979="","",IFERROR(AVERAGEIFS(Orders_Log!$H:$H,Orders_Log!$C:$C,$A979,Orders_Log!$H:$H,"&gt;0"),0))</f>
        <v/>
      </c>
      <c r="H979">
        <f>IF($A979="","",COUNTIFS(Orders_Log!$C:$C,$A979,Orders_Log!$P:$P,"Returned to Picker"))</f>
        <v/>
      </c>
    </row>
    <row r="980">
      <c r="B980">
        <f>IF($A980="","",COUNTIFS(Orders_Log!$C:$C,$A980,Orders_Log!$B:$B,"&lt;&gt;"))</f>
        <v/>
      </c>
      <c r="C980">
        <f>IF($A980="","",COUNTIFS(Orders_Log!$C:$C,$A980,Orders_Log!$M:$M,"Yes"))</f>
        <v/>
      </c>
      <c r="D980" s="5">
        <f>IF(B980=0,0,C980/B980)</f>
        <v/>
      </c>
      <c r="E980">
        <f>IF($A980="","",SUMIFS(Orders_Log!$I:$I,Orders_Log!$C:$C,$A980))</f>
        <v/>
      </c>
      <c r="F980">
        <f>IF(B980=0,0,E980/B980)</f>
        <v/>
      </c>
      <c r="G980">
        <f>IF($A980="","",IFERROR(AVERAGEIFS(Orders_Log!$H:$H,Orders_Log!$C:$C,$A980,Orders_Log!$H:$H,"&gt;0"),0))</f>
        <v/>
      </c>
      <c r="H980">
        <f>IF($A980="","",COUNTIFS(Orders_Log!$C:$C,$A980,Orders_Log!$P:$P,"Returned to Picker"))</f>
        <v/>
      </c>
    </row>
    <row r="981">
      <c r="B981">
        <f>IF($A981="","",COUNTIFS(Orders_Log!$C:$C,$A981,Orders_Log!$B:$B,"&lt;&gt;"))</f>
        <v/>
      </c>
      <c r="C981">
        <f>IF($A981="","",COUNTIFS(Orders_Log!$C:$C,$A981,Orders_Log!$M:$M,"Yes"))</f>
        <v/>
      </c>
      <c r="D981" s="5">
        <f>IF(B981=0,0,C981/B981)</f>
        <v/>
      </c>
      <c r="E981">
        <f>IF($A981="","",SUMIFS(Orders_Log!$I:$I,Orders_Log!$C:$C,$A981))</f>
        <v/>
      </c>
      <c r="F981">
        <f>IF(B981=0,0,E981/B981)</f>
        <v/>
      </c>
      <c r="G981">
        <f>IF($A981="","",IFERROR(AVERAGEIFS(Orders_Log!$H:$H,Orders_Log!$C:$C,$A981,Orders_Log!$H:$H,"&gt;0"),0))</f>
        <v/>
      </c>
      <c r="H981">
        <f>IF($A981="","",COUNTIFS(Orders_Log!$C:$C,$A981,Orders_Log!$P:$P,"Returned to Picker"))</f>
        <v/>
      </c>
    </row>
    <row r="982">
      <c r="B982">
        <f>IF($A982="","",COUNTIFS(Orders_Log!$C:$C,$A982,Orders_Log!$B:$B,"&lt;&gt;"))</f>
        <v/>
      </c>
      <c r="C982">
        <f>IF($A982="","",COUNTIFS(Orders_Log!$C:$C,$A982,Orders_Log!$M:$M,"Yes"))</f>
        <v/>
      </c>
      <c r="D982" s="5">
        <f>IF(B982=0,0,C982/B982)</f>
        <v/>
      </c>
      <c r="E982">
        <f>IF($A982="","",SUMIFS(Orders_Log!$I:$I,Orders_Log!$C:$C,$A982))</f>
        <v/>
      </c>
      <c r="F982">
        <f>IF(B982=0,0,E982/B982)</f>
        <v/>
      </c>
      <c r="G982">
        <f>IF($A982="","",IFERROR(AVERAGEIFS(Orders_Log!$H:$H,Orders_Log!$C:$C,$A982,Orders_Log!$H:$H,"&gt;0"),0))</f>
        <v/>
      </c>
      <c r="H982">
        <f>IF($A982="","",COUNTIFS(Orders_Log!$C:$C,$A982,Orders_Log!$P:$P,"Returned to Picker"))</f>
        <v/>
      </c>
    </row>
    <row r="983">
      <c r="B983">
        <f>IF($A983="","",COUNTIFS(Orders_Log!$C:$C,$A983,Orders_Log!$B:$B,"&lt;&gt;"))</f>
        <v/>
      </c>
      <c r="C983">
        <f>IF($A983="","",COUNTIFS(Orders_Log!$C:$C,$A983,Orders_Log!$M:$M,"Yes"))</f>
        <v/>
      </c>
      <c r="D983" s="5">
        <f>IF(B983=0,0,C983/B983)</f>
        <v/>
      </c>
      <c r="E983">
        <f>IF($A983="","",SUMIFS(Orders_Log!$I:$I,Orders_Log!$C:$C,$A983))</f>
        <v/>
      </c>
      <c r="F983">
        <f>IF(B983=0,0,E983/B983)</f>
        <v/>
      </c>
      <c r="G983">
        <f>IF($A983="","",IFERROR(AVERAGEIFS(Orders_Log!$H:$H,Orders_Log!$C:$C,$A983,Orders_Log!$H:$H,"&gt;0"),0))</f>
        <v/>
      </c>
      <c r="H983">
        <f>IF($A983="","",COUNTIFS(Orders_Log!$C:$C,$A983,Orders_Log!$P:$P,"Returned to Picker"))</f>
        <v/>
      </c>
    </row>
    <row r="984">
      <c r="B984">
        <f>IF($A984="","",COUNTIFS(Orders_Log!$C:$C,$A984,Orders_Log!$B:$B,"&lt;&gt;"))</f>
        <v/>
      </c>
      <c r="C984">
        <f>IF($A984="","",COUNTIFS(Orders_Log!$C:$C,$A984,Orders_Log!$M:$M,"Yes"))</f>
        <v/>
      </c>
      <c r="D984" s="5">
        <f>IF(B984=0,0,C984/B984)</f>
        <v/>
      </c>
      <c r="E984">
        <f>IF($A984="","",SUMIFS(Orders_Log!$I:$I,Orders_Log!$C:$C,$A984))</f>
        <v/>
      </c>
      <c r="F984">
        <f>IF(B984=0,0,E984/B984)</f>
        <v/>
      </c>
      <c r="G984">
        <f>IF($A984="","",IFERROR(AVERAGEIFS(Orders_Log!$H:$H,Orders_Log!$C:$C,$A984,Orders_Log!$H:$H,"&gt;0"),0))</f>
        <v/>
      </c>
      <c r="H984">
        <f>IF($A984="","",COUNTIFS(Orders_Log!$C:$C,$A984,Orders_Log!$P:$P,"Returned to Picker"))</f>
        <v/>
      </c>
    </row>
    <row r="985">
      <c r="B985">
        <f>IF($A985="","",COUNTIFS(Orders_Log!$C:$C,$A985,Orders_Log!$B:$B,"&lt;&gt;"))</f>
        <v/>
      </c>
      <c r="C985">
        <f>IF($A985="","",COUNTIFS(Orders_Log!$C:$C,$A985,Orders_Log!$M:$M,"Yes"))</f>
        <v/>
      </c>
      <c r="D985" s="5">
        <f>IF(B985=0,0,C985/B985)</f>
        <v/>
      </c>
      <c r="E985">
        <f>IF($A985="","",SUMIFS(Orders_Log!$I:$I,Orders_Log!$C:$C,$A985))</f>
        <v/>
      </c>
      <c r="F985">
        <f>IF(B985=0,0,E985/B985)</f>
        <v/>
      </c>
      <c r="G985">
        <f>IF($A985="","",IFERROR(AVERAGEIFS(Orders_Log!$H:$H,Orders_Log!$C:$C,$A985,Orders_Log!$H:$H,"&gt;0"),0))</f>
        <v/>
      </c>
      <c r="H985">
        <f>IF($A985="","",COUNTIFS(Orders_Log!$C:$C,$A985,Orders_Log!$P:$P,"Returned to Picker"))</f>
        <v/>
      </c>
    </row>
    <row r="986">
      <c r="B986">
        <f>IF($A986="","",COUNTIFS(Orders_Log!$C:$C,$A986,Orders_Log!$B:$B,"&lt;&gt;"))</f>
        <v/>
      </c>
      <c r="C986">
        <f>IF($A986="","",COUNTIFS(Orders_Log!$C:$C,$A986,Orders_Log!$M:$M,"Yes"))</f>
        <v/>
      </c>
      <c r="D986" s="5">
        <f>IF(B986=0,0,C986/B986)</f>
        <v/>
      </c>
      <c r="E986">
        <f>IF($A986="","",SUMIFS(Orders_Log!$I:$I,Orders_Log!$C:$C,$A986))</f>
        <v/>
      </c>
      <c r="F986">
        <f>IF(B986=0,0,E986/B986)</f>
        <v/>
      </c>
      <c r="G986">
        <f>IF($A986="","",IFERROR(AVERAGEIFS(Orders_Log!$H:$H,Orders_Log!$C:$C,$A986,Orders_Log!$H:$H,"&gt;0"),0))</f>
        <v/>
      </c>
      <c r="H986">
        <f>IF($A986="","",COUNTIFS(Orders_Log!$C:$C,$A986,Orders_Log!$P:$P,"Returned to Picker"))</f>
        <v/>
      </c>
    </row>
    <row r="987">
      <c r="B987">
        <f>IF($A987="","",COUNTIFS(Orders_Log!$C:$C,$A987,Orders_Log!$B:$B,"&lt;&gt;"))</f>
        <v/>
      </c>
      <c r="C987">
        <f>IF($A987="","",COUNTIFS(Orders_Log!$C:$C,$A987,Orders_Log!$M:$M,"Yes"))</f>
        <v/>
      </c>
      <c r="D987" s="5">
        <f>IF(B987=0,0,C987/B987)</f>
        <v/>
      </c>
      <c r="E987">
        <f>IF($A987="","",SUMIFS(Orders_Log!$I:$I,Orders_Log!$C:$C,$A987))</f>
        <v/>
      </c>
      <c r="F987">
        <f>IF(B987=0,0,E987/B987)</f>
        <v/>
      </c>
      <c r="G987">
        <f>IF($A987="","",IFERROR(AVERAGEIFS(Orders_Log!$H:$H,Orders_Log!$C:$C,$A987,Orders_Log!$H:$H,"&gt;0"),0))</f>
        <v/>
      </c>
      <c r="H987">
        <f>IF($A987="","",COUNTIFS(Orders_Log!$C:$C,$A987,Orders_Log!$P:$P,"Returned to Picker"))</f>
        <v/>
      </c>
    </row>
    <row r="988">
      <c r="B988">
        <f>IF($A988="","",COUNTIFS(Orders_Log!$C:$C,$A988,Orders_Log!$B:$B,"&lt;&gt;"))</f>
        <v/>
      </c>
      <c r="C988">
        <f>IF($A988="","",COUNTIFS(Orders_Log!$C:$C,$A988,Orders_Log!$M:$M,"Yes"))</f>
        <v/>
      </c>
      <c r="D988" s="5">
        <f>IF(B988=0,0,C988/B988)</f>
        <v/>
      </c>
      <c r="E988">
        <f>IF($A988="","",SUMIFS(Orders_Log!$I:$I,Orders_Log!$C:$C,$A988))</f>
        <v/>
      </c>
      <c r="F988">
        <f>IF(B988=0,0,E988/B988)</f>
        <v/>
      </c>
      <c r="G988">
        <f>IF($A988="","",IFERROR(AVERAGEIFS(Orders_Log!$H:$H,Orders_Log!$C:$C,$A988,Orders_Log!$H:$H,"&gt;0"),0))</f>
        <v/>
      </c>
      <c r="H988">
        <f>IF($A988="","",COUNTIFS(Orders_Log!$C:$C,$A988,Orders_Log!$P:$P,"Returned to Picker"))</f>
        <v/>
      </c>
    </row>
    <row r="989">
      <c r="B989">
        <f>IF($A989="","",COUNTIFS(Orders_Log!$C:$C,$A989,Orders_Log!$B:$B,"&lt;&gt;"))</f>
        <v/>
      </c>
      <c r="C989">
        <f>IF($A989="","",COUNTIFS(Orders_Log!$C:$C,$A989,Orders_Log!$M:$M,"Yes"))</f>
        <v/>
      </c>
      <c r="D989" s="5">
        <f>IF(B989=0,0,C989/B989)</f>
        <v/>
      </c>
      <c r="E989">
        <f>IF($A989="","",SUMIFS(Orders_Log!$I:$I,Orders_Log!$C:$C,$A989))</f>
        <v/>
      </c>
      <c r="F989">
        <f>IF(B989=0,0,E989/B989)</f>
        <v/>
      </c>
      <c r="G989">
        <f>IF($A989="","",IFERROR(AVERAGEIFS(Orders_Log!$H:$H,Orders_Log!$C:$C,$A989,Orders_Log!$H:$H,"&gt;0"),0))</f>
        <v/>
      </c>
      <c r="H989">
        <f>IF($A989="","",COUNTIFS(Orders_Log!$C:$C,$A989,Orders_Log!$P:$P,"Returned to Picker"))</f>
        <v/>
      </c>
    </row>
    <row r="990">
      <c r="B990">
        <f>IF($A990="","",COUNTIFS(Orders_Log!$C:$C,$A990,Orders_Log!$B:$B,"&lt;&gt;"))</f>
        <v/>
      </c>
      <c r="C990">
        <f>IF($A990="","",COUNTIFS(Orders_Log!$C:$C,$A990,Orders_Log!$M:$M,"Yes"))</f>
        <v/>
      </c>
      <c r="D990" s="5">
        <f>IF(B990=0,0,C990/B990)</f>
        <v/>
      </c>
      <c r="E990">
        <f>IF($A990="","",SUMIFS(Orders_Log!$I:$I,Orders_Log!$C:$C,$A990))</f>
        <v/>
      </c>
      <c r="F990">
        <f>IF(B990=0,0,E990/B990)</f>
        <v/>
      </c>
      <c r="G990">
        <f>IF($A990="","",IFERROR(AVERAGEIFS(Orders_Log!$H:$H,Orders_Log!$C:$C,$A990,Orders_Log!$H:$H,"&gt;0"),0))</f>
        <v/>
      </c>
      <c r="H990">
        <f>IF($A990="","",COUNTIFS(Orders_Log!$C:$C,$A990,Orders_Log!$P:$P,"Returned to Picker"))</f>
        <v/>
      </c>
    </row>
    <row r="991">
      <c r="B991">
        <f>IF($A991="","",COUNTIFS(Orders_Log!$C:$C,$A991,Orders_Log!$B:$B,"&lt;&gt;"))</f>
        <v/>
      </c>
      <c r="C991">
        <f>IF($A991="","",COUNTIFS(Orders_Log!$C:$C,$A991,Orders_Log!$M:$M,"Yes"))</f>
        <v/>
      </c>
      <c r="D991" s="5">
        <f>IF(B991=0,0,C991/B991)</f>
        <v/>
      </c>
      <c r="E991">
        <f>IF($A991="","",SUMIFS(Orders_Log!$I:$I,Orders_Log!$C:$C,$A991))</f>
        <v/>
      </c>
      <c r="F991">
        <f>IF(B991=0,0,E991/B991)</f>
        <v/>
      </c>
      <c r="G991">
        <f>IF($A991="","",IFERROR(AVERAGEIFS(Orders_Log!$H:$H,Orders_Log!$C:$C,$A991,Orders_Log!$H:$H,"&gt;0"),0))</f>
        <v/>
      </c>
      <c r="H991">
        <f>IF($A991="","",COUNTIFS(Orders_Log!$C:$C,$A991,Orders_Log!$P:$P,"Returned to Picker"))</f>
        <v/>
      </c>
    </row>
    <row r="992">
      <c r="B992">
        <f>IF($A992="","",COUNTIFS(Orders_Log!$C:$C,$A992,Orders_Log!$B:$B,"&lt;&gt;"))</f>
        <v/>
      </c>
      <c r="C992">
        <f>IF($A992="","",COUNTIFS(Orders_Log!$C:$C,$A992,Orders_Log!$M:$M,"Yes"))</f>
        <v/>
      </c>
      <c r="D992" s="5">
        <f>IF(B992=0,0,C992/B992)</f>
        <v/>
      </c>
      <c r="E992">
        <f>IF($A992="","",SUMIFS(Orders_Log!$I:$I,Orders_Log!$C:$C,$A992))</f>
        <v/>
      </c>
      <c r="F992">
        <f>IF(B992=0,0,E992/B992)</f>
        <v/>
      </c>
      <c r="G992">
        <f>IF($A992="","",IFERROR(AVERAGEIFS(Orders_Log!$H:$H,Orders_Log!$C:$C,$A992,Orders_Log!$H:$H,"&gt;0"),0))</f>
        <v/>
      </c>
      <c r="H992">
        <f>IF($A992="","",COUNTIFS(Orders_Log!$C:$C,$A992,Orders_Log!$P:$P,"Returned to Picker"))</f>
        <v/>
      </c>
    </row>
    <row r="993">
      <c r="B993">
        <f>IF($A993="","",COUNTIFS(Orders_Log!$C:$C,$A993,Orders_Log!$B:$B,"&lt;&gt;"))</f>
        <v/>
      </c>
      <c r="C993">
        <f>IF($A993="","",COUNTIFS(Orders_Log!$C:$C,$A993,Orders_Log!$M:$M,"Yes"))</f>
        <v/>
      </c>
      <c r="D993" s="5">
        <f>IF(B993=0,0,C993/B993)</f>
        <v/>
      </c>
      <c r="E993">
        <f>IF($A993="","",SUMIFS(Orders_Log!$I:$I,Orders_Log!$C:$C,$A993))</f>
        <v/>
      </c>
      <c r="F993">
        <f>IF(B993=0,0,E993/B993)</f>
        <v/>
      </c>
      <c r="G993">
        <f>IF($A993="","",IFERROR(AVERAGEIFS(Orders_Log!$H:$H,Orders_Log!$C:$C,$A993,Orders_Log!$H:$H,"&gt;0"),0))</f>
        <v/>
      </c>
      <c r="H993">
        <f>IF($A993="","",COUNTIFS(Orders_Log!$C:$C,$A993,Orders_Log!$P:$P,"Returned to Picker"))</f>
        <v/>
      </c>
    </row>
    <row r="994">
      <c r="B994">
        <f>IF($A994="","",COUNTIFS(Orders_Log!$C:$C,$A994,Orders_Log!$B:$B,"&lt;&gt;"))</f>
        <v/>
      </c>
      <c r="C994">
        <f>IF($A994="","",COUNTIFS(Orders_Log!$C:$C,$A994,Orders_Log!$M:$M,"Yes"))</f>
        <v/>
      </c>
      <c r="D994" s="5">
        <f>IF(B994=0,0,C994/B994)</f>
        <v/>
      </c>
      <c r="E994">
        <f>IF($A994="","",SUMIFS(Orders_Log!$I:$I,Orders_Log!$C:$C,$A994))</f>
        <v/>
      </c>
      <c r="F994">
        <f>IF(B994=0,0,E994/B994)</f>
        <v/>
      </c>
      <c r="G994">
        <f>IF($A994="","",IFERROR(AVERAGEIFS(Orders_Log!$H:$H,Orders_Log!$C:$C,$A994,Orders_Log!$H:$H,"&gt;0"),0))</f>
        <v/>
      </c>
      <c r="H994">
        <f>IF($A994="","",COUNTIFS(Orders_Log!$C:$C,$A994,Orders_Log!$P:$P,"Returned to Picker"))</f>
        <v/>
      </c>
    </row>
    <row r="995">
      <c r="B995">
        <f>IF($A995="","",COUNTIFS(Orders_Log!$C:$C,$A995,Orders_Log!$B:$B,"&lt;&gt;"))</f>
        <v/>
      </c>
      <c r="C995">
        <f>IF($A995="","",COUNTIFS(Orders_Log!$C:$C,$A995,Orders_Log!$M:$M,"Yes"))</f>
        <v/>
      </c>
      <c r="D995" s="5">
        <f>IF(B995=0,0,C995/B995)</f>
        <v/>
      </c>
      <c r="E995">
        <f>IF($A995="","",SUMIFS(Orders_Log!$I:$I,Orders_Log!$C:$C,$A995))</f>
        <v/>
      </c>
      <c r="F995">
        <f>IF(B995=0,0,E995/B995)</f>
        <v/>
      </c>
      <c r="G995">
        <f>IF($A995="","",IFERROR(AVERAGEIFS(Orders_Log!$H:$H,Orders_Log!$C:$C,$A995,Orders_Log!$H:$H,"&gt;0"),0))</f>
        <v/>
      </c>
      <c r="H995">
        <f>IF($A995="","",COUNTIFS(Orders_Log!$C:$C,$A995,Orders_Log!$P:$P,"Returned to Picker"))</f>
        <v/>
      </c>
    </row>
    <row r="996">
      <c r="B996">
        <f>IF($A996="","",COUNTIFS(Orders_Log!$C:$C,$A996,Orders_Log!$B:$B,"&lt;&gt;"))</f>
        <v/>
      </c>
      <c r="C996">
        <f>IF($A996="","",COUNTIFS(Orders_Log!$C:$C,$A996,Orders_Log!$M:$M,"Yes"))</f>
        <v/>
      </c>
      <c r="D996" s="5">
        <f>IF(B996=0,0,C996/B996)</f>
        <v/>
      </c>
      <c r="E996">
        <f>IF($A996="","",SUMIFS(Orders_Log!$I:$I,Orders_Log!$C:$C,$A996))</f>
        <v/>
      </c>
      <c r="F996">
        <f>IF(B996=0,0,E996/B996)</f>
        <v/>
      </c>
      <c r="G996">
        <f>IF($A996="","",IFERROR(AVERAGEIFS(Orders_Log!$H:$H,Orders_Log!$C:$C,$A996,Orders_Log!$H:$H,"&gt;0"),0))</f>
        <v/>
      </c>
      <c r="H996">
        <f>IF($A996="","",COUNTIFS(Orders_Log!$C:$C,$A996,Orders_Log!$P:$P,"Returned to Picker"))</f>
        <v/>
      </c>
    </row>
    <row r="997">
      <c r="B997">
        <f>IF($A997="","",COUNTIFS(Orders_Log!$C:$C,$A997,Orders_Log!$B:$B,"&lt;&gt;"))</f>
        <v/>
      </c>
      <c r="C997">
        <f>IF($A997="","",COUNTIFS(Orders_Log!$C:$C,$A997,Orders_Log!$M:$M,"Yes"))</f>
        <v/>
      </c>
      <c r="D997" s="5">
        <f>IF(B997=0,0,C997/B997)</f>
        <v/>
      </c>
      <c r="E997">
        <f>IF($A997="","",SUMIFS(Orders_Log!$I:$I,Orders_Log!$C:$C,$A997))</f>
        <v/>
      </c>
      <c r="F997">
        <f>IF(B997=0,0,E997/B997)</f>
        <v/>
      </c>
      <c r="G997">
        <f>IF($A997="","",IFERROR(AVERAGEIFS(Orders_Log!$H:$H,Orders_Log!$C:$C,$A997,Orders_Log!$H:$H,"&gt;0"),0))</f>
        <v/>
      </c>
      <c r="H997">
        <f>IF($A997="","",COUNTIFS(Orders_Log!$C:$C,$A997,Orders_Log!$P:$P,"Returned to Picker"))</f>
        <v/>
      </c>
    </row>
    <row r="998">
      <c r="B998">
        <f>IF($A998="","",COUNTIFS(Orders_Log!$C:$C,$A998,Orders_Log!$B:$B,"&lt;&gt;"))</f>
        <v/>
      </c>
      <c r="C998">
        <f>IF($A998="","",COUNTIFS(Orders_Log!$C:$C,$A998,Orders_Log!$M:$M,"Yes"))</f>
        <v/>
      </c>
      <c r="D998" s="5">
        <f>IF(B998=0,0,C998/B998)</f>
        <v/>
      </c>
      <c r="E998">
        <f>IF($A998="","",SUMIFS(Orders_Log!$I:$I,Orders_Log!$C:$C,$A998))</f>
        <v/>
      </c>
      <c r="F998">
        <f>IF(B998=0,0,E998/B998)</f>
        <v/>
      </c>
      <c r="G998">
        <f>IF($A998="","",IFERROR(AVERAGEIFS(Orders_Log!$H:$H,Orders_Log!$C:$C,$A998,Orders_Log!$H:$H,"&gt;0"),0))</f>
        <v/>
      </c>
      <c r="H998">
        <f>IF($A998="","",COUNTIFS(Orders_Log!$C:$C,$A998,Orders_Log!$P:$P,"Returned to Picker"))</f>
        <v/>
      </c>
    </row>
    <row r="999">
      <c r="B999">
        <f>IF($A999="","",COUNTIFS(Orders_Log!$C:$C,$A999,Orders_Log!$B:$B,"&lt;&gt;"))</f>
        <v/>
      </c>
      <c r="C999">
        <f>IF($A999="","",COUNTIFS(Orders_Log!$C:$C,$A999,Orders_Log!$M:$M,"Yes"))</f>
        <v/>
      </c>
      <c r="D999" s="5">
        <f>IF(B999=0,0,C999/B999)</f>
        <v/>
      </c>
      <c r="E999">
        <f>IF($A999="","",SUMIFS(Orders_Log!$I:$I,Orders_Log!$C:$C,$A999))</f>
        <v/>
      </c>
      <c r="F999">
        <f>IF(B999=0,0,E999/B999)</f>
        <v/>
      </c>
      <c r="G999">
        <f>IF($A999="","",IFERROR(AVERAGEIFS(Orders_Log!$H:$H,Orders_Log!$C:$C,$A999,Orders_Log!$H:$H,"&gt;0"),0))</f>
        <v/>
      </c>
      <c r="H999">
        <f>IF($A999="","",COUNTIFS(Orders_Log!$C:$C,$A999,Orders_Log!$P:$P,"Returned to Picker"))</f>
        <v/>
      </c>
    </row>
    <row r="1000">
      <c r="B1000">
        <f>IF($A1000="","",COUNTIFS(Orders_Log!$C:$C,$A1000,Orders_Log!$B:$B,"&lt;&gt;"))</f>
        <v/>
      </c>
      <c r="C1000">
        <f>IF($A1000="","",COUNTIFS(Orders_Log!$C:$C,$A1000,Orders_Log!$M:$M,"Yes"))</f>
        <v/>
      </c>
      <c r="D1000" s="5">
        <f>IF(B1000=0,0,C1000/B1000)</f>
        <v/>
      </c>
      <c r="E1000">
        <f>IF($A1000="","",SUMIFS(Orders_Log!$I:$I,Orders_Log!$C:$C,$A1000))</f>
        <v/>
      </c>
      <c r="F1000">
        <f>IF(B1000=0,0,E1000/B1000)</f>
        <v/>
      </c>
      <c r="G1000">
        <f>IF($A1000="","",IFERROR(AVERAGEIFS(Orders_Log!$H:$H,Orders_Log!$C:$C,$A1000,Orders_Log!$H:$H,"&gt;0"),0))</f>
        <v/>
      </c>
      <c r="H1000">
        <f>IF($A1000="","",COUNTIFS(Orders_Log!$C:$C,$A1000,Orders_Log!$P:$P,"Returned to Picker"))</f>
        <v/>
      </c>
    </row>
    <row r="1001">
      <c r="B1001">
        <f>IF($A1001="","",COUNTIFS(Orders_Log!$C:$C,$A1001,Orders_Log!$B:$B,"&lt;&gt;"))</f>
        <v/>
      </c>
      <c r="C1001">
        <f>IF($A1001="","",COUNTIFS(Orders_Log!$C:$C,$A1001,Orders_Log!$M:$M,"Yes"))</f>
        <v/>
      </c>
      <c r="D1001" s="5">
        <f>IF(B1001=0,0,C1001/B1001)</f>
        <v/>
      </c>
      <c r="E1001">
        <f>IF($A1001="","",SUMIFS(Orders_Log!$I:$I,Orders_Log!$C:$C,$A1001))</f>
        <v/>
      </c>
      <c r="F1001">
        <f>IF(B1001=0,0,E1001/B1001)</f>
        <v/>
      </c>
      <c r="G1001">
        <f>IF($A1001="","",IFERROR(AVERAGEIFS(Orders_Log!$H:$H,Orders_Log!$C:$C,$A1001,Orders_Log!$H:$H,"&gt;0"),0))</f>
        <v/>
      </c>
      <c r="H1001">
        <f>IF($A1001="","",COUNTIFS(Orders_Log!$C:$C,$A1001,Orders_Log!$P:$P,"Returned to Picker"))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</cols>
  <sheetData>
    <row r="1" ht="22" customHeight="1">
      <c r="A1" s="1" t="inlineStr">
        <is>
          <t>Error type</t>
        </is>
      </c>
      <c r="B1" s="1" t="inlineStr">
        <is>
          <t>Count</t>
        </is>
      </c>
      <c r="C1" s="1" t="inlineStr">
        <is>
          <t>Percentage of all errors</t>
        </is>
      </c>
    </row>
    <row r="2">
      <c r="A2" t="inlineStr">
        <is>
          <t>Wrong Quantity</t>
        </is>
      </c>
      <c r="B2">
        <f>COUNTIFS(Orders_Log!$M:$M,"Yes",Orders_Log!$N:$N,A2)</f>
        <v/>
      </c>
      <c r="C2" s="5">
        <f>IF(SUM($B$2:$B$8)=0,0,B2/SUM($B$2:$B$8))</f>
        <v/>
      </c>
    </row>
    <row r="3">
      <c r="A3" t="inlineStr">
        <is>
          <t>Wrong Item</t>
        </is>
      </c>
      <c r="B3">
        <f>COUNTIFS(Orders_Log!$M:$M,"Yes",Orders_Log!$N:$N,A3)</f>
        <v/>
      </c>
      <c r="C3" s="5">
        <f>IF(SUM($B$2:$B$8)=0,0,B3/SUM($B$2:$B$8))</f>
        <v/>
      </c>
    </row>
    <row r="4">
      <c r="A4" t="inlineStr">
        <is>
          <t>Missing Item</t>
        </is>
      </c>
      <c r="B4">
        <f>COUNTIFS(Orders_Log!$M:$M,"Yes",Orders_Log!$N:$N,A4)</f>
        <v/>
      </c>
      <c r="C4" s="5">
        <f>IF(SUM($B$2:$B$8)=0,0,B4/SUM($B$2:$B$8))</f>
        <v/>
      </c>
    </row>
    <row r="5">
      <c r="A5" t="inlineStr">
        <is>
          <t>Small Items Loose</t>
        </is>
      </c>
      <c r="B5">
        <f>COUNTIFS(Orders_Log!$M:$M,"Yes",Orders_Log!$N:$N,A5)</f>
        <v/>
      </c>
      <c r="C5" s="5">
        <f>IF(SUM($B$2:$B$8)=0,0,B5/SUM($B$2:$B$8))</f>
        <v/>
      </c>
    </row>
    <row r="6">
      <c r="A6" t="inlineStr">
        <is>
          <t>Bad Packing</t>
        </is>
      </c>
      <c r="B6">
        <f>COUNTIFS(Orders_Log!$M:$M,"Yes",Orders_Log!$N:$N,A6)</f>
        <v/>
      </c>
      <c r="C6" s="5">
        <f>IF(SUM($B$2:$B$8)=0,0,B6/SUM($B$2:$B$8))</f>
        <v/>
      </c>
    </row>
    <row r="7">
      <c r="A7" t="inlineStr">
        <is>
          <t>Damaged Item</t>
        </is>
      </c>
      <c r="B7">
        <f>COUNTIFS(Orders_Log!$M:$M,"Yes",Orders_Log!$N:$N,A7)</f>
        <v/>
      </c>
      <c r="C7" s="5">
        <f>IF(SUM($B$2:$B$8)=0,0,B7/SUM($B$2:$B$8))</f>
        <v/>
      </c>
    </row>
    <row r="8">
      <c r="A8" t="inlineStr">
        <is>
          <t>Other</t>
        </is>
      </c>
      <c r="B8">
        <f>COUNTIFS(Orders_Log!$M:$M,"Yes",Orders_Log!$N:$N,A8)</f>
        <v/>
      </c>
      <c r="C8" s="5">
        <f>IF(SUM($B$2:$B$8)=0,0,B8/SUM($B$2:$B$8))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2026-05-24T20:37:59Z</dcterms:created>
  <dcterms:modified xmlns:dcterms="http://purl.org/dc/terms/" xmlns:xsi="http://www.w3.org/2001/XMLSchema-instance" xsi:type="dcterms:W3CDTF">2026-05-24T20:37:59Z</dcterms:modified>
</cp:coreProperties>
</file>